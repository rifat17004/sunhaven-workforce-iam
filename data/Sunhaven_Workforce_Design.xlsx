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cqu365-my.sharepoint.com/personal/rifatislam_emon_cqumail_com/Documents/_sunhaven-workforce-iam/exl_files/"/>
    </mc:Choice>
  </mc:AlternateContent>
  <xr:revisionPtr revIDLastSave="9" documentId="8_{85F862B5-32F6-E94C-BC11-AFD1AB349B60}" xr6:coauthVersionLast="47" xr6:coauthVersionMax="47" xr10:uidLastSave="{968F5102-CEC6-6947-A6FE-8CB20A370011}"/>
  <bookViews>
    <workbookView xWindow="0" yWindow="600" windowWidth="27040" windowHeight="15680" firstSheet="3" activeTab="10" xr2:uid="{00000000-000D-0000-FFFF-FFFF00000000}"/>
  </bookViews>
  <sheets>
    <sheet name="Personas" sheetId="1" r:id="rId1"/>
    <sheet name="Test Residents" sheetId="2" r:id="rId2"/>
    <sheet name="RBAC_Matrix_v1.0" sheetId="3" r:id="rId3"/>
    <sheet name="RBAC_Decision_Log" sheetId="4" r:id="rId4"/>
    <sheet name="Change_Log" sheetId="5" r:id="rId5"/>
    <sheet name="JML_Workflow_Spec" sheetId="6" r:id="rId6"/>
    <sheet name="JML_Validation_Rules" sheetId="7" r:id="rId7"/>
    <sheet name="JML_Rollback_Plan" sheetId="8" r:id="rId8"/>
    <sheet name="Test_Plan" sheetId="9" r:id="rId9"/>
    <sheet name="Requirements_Traceability" sheetId="10" r:id="rId10"/>
    <sheet name="Evidence_Index"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11" l="1"/>
  <c r="B38" i="11"/>
  <c r="A38" i="11"/>
  <c r="C38" i="11" s="1"/>
  <c r="D37" i="11"/>
  <c r="B37" i="11"/>
  <c r="A37" i="11"/>
  <c r="C37" i="11" s="1"/>
  <c r="D36" i="11"/>
  <c r="C36" i="11"/>
  <c r="B36" i="11"/>
  <c r="A36" i="11"/>
  <c r="D35" i="11"/>
  <c r="B35" i="11"/>
  <c r="A35" i="11"/>
  <c r="C35" i="11" s="1"/>
  <c r="D34" i="11"/>
  <c r="B34" i="11"/>
  <c r="A34" i="11"/>
  <c r="C34" i="11" s="1"/>
  <c r="D33" i="11"/>
  <c r="B33" i="11"/>
  <c r="A33" i="11"/>
  <c r="C33" i="11" s="1"/>
  <c r="D32" i="11"/>
  <c r="B32" i="11"/>
  <c r="A32" i="11"/>
  <c r="C32" i="11" s="1"/>
  <c r="D31" i="11"/>
  <c r="C31" i="11"/>
  <c r="B31" i="11"/>
  <c r="A31" i="11"/>
  <c r="D30" i="11"/>
  <c r="B30" i="11"/>
  <c r="A30" i="11"/>
  <c r="C30" i="11" s="1"/>
  <c r="D29" i="11"/>
  <c r="B29" i="11"/>
  <c r="A29" i="11"/>
  <c r="C29" i="11" s="1"/>
  <c r="D28" i="11"/>
  <c r="B28" i="11"/>
  <c r="A28" i="11"/>
  <c r="C28" i="11" s="1"/>
  <c r="D27" i="11"/>
  <c r="B27" i="11"/>
  <c r="A27" i="11"/>
  <c r="C27" i="11" s="1"/>
  <c r="D26" i="11"/>
  <c r="C26" i="11"/>
  <c r="B26" i="11"/>
  <c r="A26" i="11"/>
  <c r="D25" i="11"/>
  <c r="B25" i="11"/>
  <c r="A25" i="11"/>
  <c r="C25" i="11" s="1"/>
  <c r="D24" i="11"/>
  <c r="B24" i="11"/>
  <c r="A24" i="11"/>
  <c r="C24" i="11" s="1"/>
  <c r="D23" i="11"/>
  <c r="B23" i="11"/>
  <c r="A23" i="11"/>
  <c r="C23" i="11" s="1"/>
  <c r="D22" i="11"/>
  <c r="B22" i="11"/>
  <c r="A22" i="11"/>
  <c r="C22" i="11" s="1"/>
  <c r="D21" i="11"/>
  <c r="C21" i="11"/>
  <c r="B21" i="11"/>
  <c r="A21" i="11"/>
  <c r="D20" i="11"/>
  <c r="B20" i="11"/>
  <c r="A20" i="11"/>
  <c r="C20" i="11" s="1"/>
  <c r="D19" i="11"/>
  <c r="B19" i="11"/>
  <c r="A19" i="11"/>
  <c r="C19" i="11" s="1"/>
  <c r="D18" i="11"/>
  <c r="B18" i="11"/>
  <c r="A18" i="11"/>
  <c r="C18" i="11" s="1"/>
  <c r="D17" i="11"/>
  <c r="B17" i="11"/>
  <c r="A17" i="11"/>
  <c r="C17" i="11" s="1"/>
  <c r="D16" i="11"/>
  <c r="C16" i="11"/>
  <c r="B16" i="11"/>
  <c r="A16" i="11"/>
  <c r="D15" i="11"/>
  <c r="B15" i="11"/>
  <c r="A15" i="11"/>
  <c r="C15" i="11" s="1"/>
  <c r="D14" i="11"/>
  <c r="B14" i="11"/>
  <c r="A14" i="11"/>
  <c r="C14" i="11" s="1"/>
  <c r="D13" i="11"/>
  <c r="B13" i="11"/>
  <c r="A13" i="11"/>
  <c r="C13" i="11" s="1"/>
  <c r="D12" i="11"/>
  <c r="B12" i="11"/>
  <c r="A12" i="11"/>
  <c r="C12" i="11" s="1"/>
  <c r="D11" i="11"/>
  <c r="C11" i="11"/>
  <c r="B11" i="11"/>
  <c r="A11" i="11"/>
  <c r="D10" i="11"/>
  <c r="B10" i="11"/>
  <c r="A10" i="11"/>
  <c r="C10" i="11" s="1"/>
  <c r="D9" i="11"/>
  <c r="B9" i="11"/>
  <c r="A9" i="11"/>
  <c r="C9" i="11" s="1"/>
  <c r="D8" i="11"/>
  <c r="B8" i="11"/>
  <c r="A8" i="11"/>
  <c r="C8" i="11" s="1"/>
  <c r="D7" i="11"/>
  <c r="B7" i="11"/>
  <c r="A7" i="11"/>
  <c r="C7" i="11" s="1"/>
  <c r="D6" i="11"/>
  <c r="C6" i="11"/>
  <c r="B6" i="11"/>
  <c r="A6" i="11"/>
  <c r="D5" i="11"/>
  <c r="B5" i="11"/>
  <c r="A5" i="11"/>
  <c r="C5" i="11" s="1"/>
  <c r="D4" i="11"/>
  <c r="B4" i="11"/>
  <c r="A4" i="11"/>
  <c r="C4" i="11" s="1"/>
  <c r="D3" i="11"/>
  <c r="B3" i="11"/>
  <c r="A3" i="11"/>
  <c r="C3" i="11" s="1"/>
  <c r="D2" i="11"/>
  <c r="B2" i="11"/>
  <c r="A2" i="11"/>
  <c r="C2" i="11" s="1"/>
</calcChain>
</file>

<file path=xl/sharedStrings.xml><?xml version="1.0" encoding="utf-8"?>
<sst xmlns="http://schemas.openxmlformats.org/spreadsheetml/2006/main" count="977" uniqueCount="527">
  <si>
    <t>Sunhaven Care Workforce Personas</t>
  </si>
  <si>
    <t>All identities and records in this workbook are synthetic test data created solely for academic demonstration. No real employee, resident, medical, university, password, token, or MFA-secret data is used.</t>
  </si>
  <si>
    <t>employeeId</t>
  </si>
  <si>
    <t>displayName</t>
  </si>
  <si>
    <t>userPrincipalName</t>
  </si>
  <si>
    <t>employmentType</t>
  </si>
  <si>
    <t>jobRole</t>
  </si>
  <si>
    <t>facility</t>
  </si>
  <si>
    <t>managerEmployeeId</t>
  </si>
  <si>
    <t>startDate</t>
  </si>
  <si>
    <t>endDate</t>
  </si>
  <si>
    <t>status</t>
  </si>
  <si>
    <t>SC1001</t>
  </si>
  <si>
    <t>Mia Carter (TEST)</t>
  </si>
  <si>
    <t>mia.carter@rifat011002gmail.onmicrosoft.com</t>
  </si>
  <si>
    <t>Permanent</t>
  </si>
  <si>
    <t>CareWorker</t>
  </si>
  <si>
    <t>Sydney</t>
  </si>
  <si>
    <t>SC1003</t>
  </si>
  <si>
    <t>Active</t>
  </si>
  <si>
    <t>SC1002</t>
  </si>
  <si>
    <t>Noah Singh (TEST)</t>
  </si>
  <si>
    <t>noah.singh@rifat011002gmail.onmicrosoft.com</t>
  </si>
  <si>
    <t>Nurse</t>
  </si>
  <si>
    <t>Ava Chen (TEST)</t>
  </si>
  <si>
    <t>ava.chen@rifat011002gmail.onmicrosoft.com</t>
  </si>
  <si>
    <t>Manager</t>
  </si>
  <si>
    <t>SC1004</t>
  </si>
  <si>
    <t>Liam Brooks (TEST)</t>
  </si>
  <si>
    <t>liam.brooks@rifat011002gmail.onmicrosoft.com</t>
  </si>
  <si>
    <t>Agency</t>
  </si>
  <si>
    <t>AgencyWorker</t>
  </si>
  <si>
    <t>SC1005</t>
  </si>
  <si>
    <t>Zoe Martin (TEST)</t>
  </si>
  <si>
    <t>zoe.martin@rifat011002gmail.onmicrosoft.com</t>
  </si>
  <si>
    <t>Contractor</t>
  </si>
  <si>
    <t>Auditor</t>
  </si>
  <si>
    <t>HeadOffice</t>
  </si>
  <si>
    <t>SC1006</t>
  </si>
  <si>
    <t>Ethan Khan (TEST)</t>
  </si>
  <si>
    <t>ethan.khan@rifat011002gmail.onmicrosoft.com</t>
  </si>
  <si>
    <t>Leaving</t>
  </si>
  <si>
    <t>SC1007</t>
  </si>
  <si>
    <t>Olivia Reed (TEST)</t>
  </si>
  <si>
    <t>olivia.reed@rifat011002gmail.onmicrosoft.com</t>
  </si>
  <si>
    <t>IAMOperator</t>
  </si>
  <si>
    <t>SC1008</t>
  </si>
  <si>
    <t>Isabella Green (TEST)</t>
  </si>
  <si>
    <t>isabella.green@rifat011002gmail.onmicrosoft.com</t>
  </si>
  <si>
    <t>SC1009</t>
  </si>
  <si>
    <t>Daniel Ortiz (TEST)</t>
  </si>
  <si>
    <t>daniel.ortiz@rifat011002gmail.onmicrosoft.com</t>
  </si>
  <si>
    <t>Inactive</t>
  </si>
  <si>
    <t>SC1010</t>
  </si>
  <si>
    <t>Ruby Evans (TEST)</t>
  </si>
  <si>
    <t>ruby.evans@rifat011002gmail.onmicrosoft.com</t>
  </si>
  <si>
    <t>Sunhaven Care Test Residents</t>
  </si>
  <si>
    <t>All resident records are fictional and labelled as synthetic test data. AssignedEmployeeIds defines the worker-to-resident relationship used by RBAC tests.</t>
  </si>
  <si>
    <t>residentId</t>
  </si>
  <si>
    <t>classification</t>
  </si>
  <si>
    <t>dataLabel</t>
  </si>
  <si>
    <t>assignedEmployeeIds</t>
  </si>
  <si>
    <t>RTEST001</t>
  </si>
  <si>
    <t>Test Resident Alpha</t>
  </si>
  <si>
    <t>Standard</t>
  </si>
  <si>
    <t>SYNTHETIC TEST DATA</t>
  </si>
  <si>
    <t>SC1001, SC1004</t>
  </si>
  <si>
    <t>RTEST002</t>
  </si>
  <si>
    <t>Test Resident Beta</t>
  </si>
  <si>
    <t>Restricted</t>
  </si>
  <si>
    <t>RTEST003</t>
  </si>
  <si>
    <t>Test Resident Gamma</t>
  </si>
  <si>
    <t>Brisbane</t>
  </si>
  <si>
    <t>Sunhaven Care RBAC Matrix v1.0</t>
  </si>
  <si>
    <t>Owner: IAM Project Owner | Status: Approved for MVP implementation | Green = ALLOW | Red = DENY | Amber = CONDITIONAL</t>
  </si>
  <si>
    <t>Role</t>
  </si>
  <si>
    <t>ViewAssignedResident</t>
  </si>
  <si>
    <t>ViewFacilityResidents</t>
  </si>
  <si>
    <t>AddCareNote</t>
  </si>
  <si>
    <t>EditClinicalNote</t>
  </si>
  <si>
    <t>ExportFacilityData</t>
  </si>
  <si>
    <t>ApproveAccessReview</t>
  </si>
  <si>
    <t>RunJMLWorkflow</t>
  </si>
  <si>
    <t>ViewAuditEvidence</t>
  </si>
  <si>
    <t>ALLOW</t>
  </si>
  <si>
    <t>DENY</t>
  </si>
  <si>
    <t>CONDITIONAL</t>
  </si>
  <si>
    <t>AgencyWorker access is allowed only when status is Active, the test date is between startDate and endDate, the worker facility matches the resident facility, and the resident is assigned to the worker.</t>
  </si>
  <si>
    <t>Active-agency example: SC1004 | employmentType: Agency | facility: Sydney | startDate: 2026-08-01 | endDate: 2026-08-20 | status: Active</t>
  </si>
  <si>
    <t>Sunhaven Care RBAC Decision Log</t>
  </si>
  <si>
    <t>Version: 1.0 | Status: Approved for MVP implementation | Owner: IAM Project Owner | Approval date: 2026-08-06</t>
  </si>
  <si>
    <t>Permission</t>
  </si>
  <si>
    <t>Allowed roles</t>
  </si>
  <si>
    <t>Business reason</t>
  </si>
  <si>
    <t>Approving owner</t>
  </si>
  <si>
    <t>CareWorker, Nurse, Manager, AgencyWorker</t>
  </si>
  <si>
    <t>Workers require assigned records to provide authorised care</t>
  </si>
  <si>
    <t>Facility Manager</t>
  </si>
  <si>
    <t>Manager oversees operations within their facility</t>
  </si>
  <si>
    <t>Data Owner</t>
  </si>
  <si>
    <t>CareWorker, Nurse, AgencyWorker</t>
  </si>
  <si>
    <t>Care providers must record delivered care</t>
  </si>
  <si>
    <t>Clinical corrections require clinical responsibility</t>
  </si>
  <si>
    <t>Clinical Data Owner</t>
  </si>
  <si>
    <t>Required for authorised facility reporting</t>
  </si>
  <si>
    <t>Managers confirm whether their workers still need access</t>
  </si>
  <si>
    <t>IAM Owner</t>
  </si>
  <si>
    <t>Identity staff perform approved lifecycle changes</t>
  </si>
  <si>
    <t>Manager, Auditor, IAMOperator</t>
  </si>
  <si>
    <t>Required for assurance, investigation and compliance</t>
  </si>
  <si>
    <t>Compliance Owner</t>
  </si>
  <si>
    <t>CareWorker, Nurse, Manager, AgencyWorker and Auditor are application business roles and receive no Microsoft Entra administrative role. IAMOperator receives only approved limited user and group administration roles. Global Administrator is reserved for initial setup and emergencies.</t>
  </si>
  <si>
    <t>Sunhaven Care IAM Design Change Log</t>
  </si>
  <si>
    <t>Version</t>
  </si>
  <si>
    <t>Date</t>
  </si>
  <si>
    <t>Change</t>
  </si>
  <si>
    <t>Approved by</t>
  </si>
  <si>
    <t>v1.0</t>
  </si>
  <si>
    <t>Initial least-privilege RBAC baseline</t>
  </si>
  <si>
    <t>IAM Project Owner</t>
  </si>
  <si>
    <t>v1.1</t>
  </si>
  <si>
    <t>Corrected personas, test identities, JML rules, traceability wording and evidence formulas</t>
  </si>
  <si>
    <t>Sunhaven Care JML Workflow Specification</t>
  </si>
  <si>
    <t>Version: 1.0 | Status: Approved for MVP implementation | Owner: IAM Project Owner | Date: 2026-08-07</t>
  </si>
  <si>
    <t>Authoritative source: Approved workforce CSV | Stable identity key: employeeId</t>
  </si>
  <si>
    <t>Event</t>
  </si>
  <si>
    <t>Trigger</t>
  </si>
  <si>
    <t>Owner</t>
  </si>
  <si>
    <t>Main actions</t>
  </si>
  <si>
    <t>Success verification</t>
  </si>
  <si>
    <t>Rollback</t>
  </si>
  <si>
    <t>Joiner</t>
  </si>
  <si>
    <t>Approved Active record with unique employeeId and a valid startDate that has begun</t>
  </si>
  <si>
    <t>IAM Operator</t>
  </si>
  <si>
    <t>Validate, create, assign and enable</t>
  </si>
  <si>
    <t>Exactly one account with correct attributes and approved group</t>
  </si>
  <si>
    <t>Disable account and remove partial access</t>
  </si>
  <si>
    <t>Mover</t>
  </si>
  <si>
    <t>Approved role, facility or manager change</t>
  </si>
  <si>
    <t>Manager approves; IAM Operator processes</t>
  </si>
  <si>
    <t>Snapshot, remove old access, update attributes and add new access</t>
  </si>
  <si>
    <t>Same account remains; new group is correct and old group is absent</t>
  </si>
  <si>
    <t>Restore snapshot or keep account disabled</t>
  </si>
  <si>
    <t>Leaver</t>
  </si>
  <si>
    <t>Leaving or Inactive status, or expired endDate</t>
  </si>
  <si>
    <t>Manager or HR triggers; IAM Operator processes</t>
  </si>
  <si>
    <t>Disable, revoke sessions, remove governed groups and log</t>
  </si>
  <si>
    <t>Login denied, sessions revoked and groups removed</t>
  </si>
  <si>
    <t>Keep disabled and escalate any failed cleanup</t>
  </si>
  <si>
    <t>All workflows</t>
  </si>
  <si>
    <t>Same approved input is rerun</t>
  </si>
  <si>
    <t>Compare current state with desired state before making changes</t>
  </si>
  <si>
    <t>No duplicate account or membership; log SKIPPED_NO_CHANGE</t>
  </si>
  <si>
    <t>No rollback required because no change was made</t>
  </si>
  <si>
    <t>Sunhaven Care JML Validation Rules</t>
  </si>
  <si>
    <t>Version: 1.0 | Owner: IAM Project Owner | Rejected records must produce a validation log and no unsafe change</t>
  </si>
  <si>
    <t>Field</t>
  </si>
  <si>
    <t>Validation rule</t>
  </si>
  <si>
    <t>Failure response</t>
  </si>
  <si>
    <t>Required, unique and format SC plus four digits</t>
  </si>
  <si>
    <t>Reject record</t>
  </si>
  <si>
    <t>Required and contains (TEST)</t>
  </si>
  <si>
    <t>Permanent, Agency or Contractor</t>
  </si>
  <si>
    <t>CareWorker, Nurse, Manager, AgencyWorker, Auditor or IAMOperator</t>
  </si>
  <si>
    <t>Sydney, Brisbane or HeadOffice</t>
  </si>
  <si>
    <t>Must reference an existing active Manager. Manager, Auditor and IAMOperator may be blank as approved top-level lab roles</t>
  </si>
  <si>
    <t>Reject or manual review</t>
  </si>
  <si>
    <t>Valid date in YYYY-MM-DD format</t>
  </si>
  <si>
    <t>Blank or valid date not earlier than startDate</t>
  </si>
  <si>
    <t>Active, Leaving or Inactive</t>
  </si>
  <si>
    <t>Agency endDate</t>
  </si>
  <si>
    <t>Required for every agency worker</t>
  </si>
  <si>
    <t>Must be unique if supplied</t>
  </si>
  <si>
    <t>startDate activation</t>
  </si>
  <si>
    <t>Account may be enabled only when startDate is today or earlier</t>
  </si>
  <si>
    <t>Do not enable; log or schedule the record</t>
  </si>
  <si>
    <t>Agency cross-field rule</t>
  </si>
  <si>
    <t>If employmentType is Agency, jobRole must be AgencyWorker and endDate is required</t>
  </si>
  <si>
    <t>Sunhaven Care JML Rollback Plan</t>
  </si>
  <si>
    <t>Version: 1.0 | Owner: IAM Project Owner | Safety principle: preserve the disabled state when access cleanup is incomplete</t>
  </si>
  <si>
    <t>Failure</t>
  </si>
  <si>
    <t>Safe response</t>
  </si>
  <si>
    <t>Joiner validation fails</t>
  </si>
  <si>
    <t>Create nothing and log the validation error</t>
  </si>
  <si>
    <t>Joiner fails after account creation</t>
  </si>
  <si>
    <t>Disable the account, remove assigned access and request review</t>
  </si>
  <si>
    <t>Mover cannot find employeeId</t>
  </si>
  <si>
    <t>Make no changes and request review</t>
  </si>
  <si>
    <t>Mover fails after removing old access</t>
  </si>
  <si>
    <t>Restore previous approved groups or disable the account</t>
  </si>
  <si>
    <t>New role is unknown</t>
  </si>
  <si>
    <t>Keep current state and reject the change</t>
  </si>
  <si>
    <t>Leaver session revocation fails</t>
  </si>
  <si>
    <t>Keep account disabled and alert administrator</t>
  </si>
  <si>
    <t>Leaver group removal fails</t>
  </si>
  <si>
    <t>Keep account disabled and retry/manual review</t>
  </si>
  <si>
    <t>Logging fails</t>
  </si>
  <si>
    <t>Stop privileged workflow or create local protected fallback record</t>
  </si>
  <si>
    <t>Duplicate employeeId detected</t>
  </si>
  <si>
    <t>Process neither record until manually resolved</t>
  </si>
  <si>
    <t>TestID</t>
  </si>
  <si>
    <t>RequirementID</t>
  </si>
  <si>
    <t>TestName</t>
  </si>
  <si>
    <t>TestType</t>
  </si>
  <si>
    <t>Persona</t>
  </si>
  <si>
    <t>Preconditions</t>
  </si>
  <si>
    <t>TestActions</t>
  </si>
  <si>
    <t>ExpectedResult</t>
  </si>
  <si>
    <t>EvidenceID</t>
  </si>
  <si>
    <t>EvidenceType</t>
  </si>
  <si>
    <t>ActualResult</t>
  </si>
  <si>
    <t>Status</t>
  </si>
  <si>
    <t>T01</t>
  </si>
  <si>
    <t>REQ-RBAC</t>
  </si>
  <si>
    <t>Care Worker views assigned resident</t>
  </si>
  <si>
    <t>Positive</t>
  </si>
  <si>
    <t>Application is available; Mia is active; RTEST001 is assigned to Mia</t>
  </si>
  <si>
    <t>Sign in as Mia Carter and open assigned resident RTEST001</t>
  </si>
  <si>
    <t>RTEST001 is displayed successfully</t>
  </si>
  <si>
    <t>EV-T01</t>
  </si>
  <si>
    <t>Screenshot</t>
  </si>
  <si>
    <t>NOT RUN</t>
  </si>
  <si>
    <t>T02</t>
  </si>
  <si>
    <t>Care Worker cannot edit clinical note</t>
  </si>
  <si>
    <t>Negative</t>
  </si>
  <si>
    <t>Mia is active and assigned the CareWorker role</t>
  </si>
  <si>
    <t>Sign in as Mia and attempt to edit a clinical note</t>
  </si>
  <si>
    <t>Access is denied with an Access Denied page or HTTP 403</t>
  </si>
  <si>
    <t>EV-T02</t>
  </si>
  <si>
    <t>Screenshot and application log</t>
  </si>
  <si>
    <t>T03</t>
  </si>
  <si>
    <t>Nurse edits an assigned clinical note</t>
  </si>
  <si>
    <t>Noah is active; Nurse role is assigned; resident is assigned to Noah</t>
  </si>
  <si>
    <t>Sign in as Noah Singh and edit an assigned resident's clinical note</t>
  </si>
  <si>
    <t>Clinical note is updated and the action is logged</t>
  </si>
  <si>
    <t>EV-T03</t>
  </si>
  <si>
    <t>T04</t>
  </si>
  <si>
    <t>Nurse cannot export facility data</t>
  </si>
  <si>
    <t>Noah is active and assigned the Nurse role</t>
  </si>
  <si>
    <t>Sign in as Noah and attempt to export facility data</t>
  </si>
  <si>
    <t>EV-T04</t>
  </si>
  <si>
    <t>T05</t>
  </si>
  <si>
    <t>Manager exports data from own facility</t>
  </si>
  <si>
    <t>Ava is active and assigned as Sydney Manager</t>
  </si>
  <si>
    <t>Sign in as Ava Chen and export Sydney facility data</t>
  </si>
  <si>
    <t>Export succeeds and the action is logged</t>
  </si>
  <si>
    <t>EV-T05</t>
  </si>
  <si>
    <t>T06</t>
  </si>
  <si>
    <t>Manager cannot edit clinical note</t>
  </si>
  <si>
    <t>Ava is active and assigned the Manager role</t>
  </si>
  <si>
    <t>Sign in as Ava and attempt to edit a clinical note</t>
  </si>
  <si>
    <t>EV-T06</t>
  </si>
  <si>
    <t>T07</t>
  </si>
  <si>
    <t>Active agency worker views assigned resident</t>
  </si>
  <si>
    <t>Liam is Active; current date is within startDate and endDate; resident is assigned</t>
  </si>
  <si>
    <t>Sign in as Liam Brooks and open his assigned Sydney resident</t>
  </si>
  <si>
    <t>Assigned resident is displayed</t>
  </si>
  <si>
    <t>EV-T07</t>
  </si>
  <si>
    <t>T08</t>
  </si>
  <si>
    <t>Expired agency worker is denied</t>
  </si>
  <si>
    <t>SC1010 Ruby Evans</t>
  </si>
  <si>
    <t>SC1010 is Inactive and the agency endDate is earlier than the test date</t>
  </si>
  <si>
    <t>Attempt application access as Ruby Evans</t>
  </si>
  <si>
    <t>Access is denied because employment has expired</t>
  </si>
  <si>
    <t>EV-T08</t>
  </si>
  <si>
    <t>T09</t>
  </si>
  <si>
    <t>Agency worker cannot access another facility</t>
  </si>
  <si>
    <t>Liam belongs to Sydney and a Brisbane test resident exists</t>
  </si>
  <si>
    <t>Sign in as Liam and attempt to open the Brisbane resident</t>
  </si>
  <si>
    <t>Access is denied because the facility does not match</t>
  </si>
  <si>
    <t>EV-T09</t>
  </si>
  <si>
    <t>T10</t>
  </si>
  <si>
    <t>Auditor views audit evidence</t>
  </si>
  <si>
    <t>Zoe is active and assigned the Auditor role</t>
  </si>
  <si>
    <t>Sign in as Zoe Martin and open the audit-evidence page</t>
  </si>
  <si>
    <t>Audit evidence is displayed without clinical data</t>
  </si>
  <si>
    <t>EV-T10</t>
  </si>
  <si>
    <t>T11</t>
  </si>
  <si>
    <t>Auditor cannot view resident data</t>
  </si>
  <si>
    <t>Sign in as Zoe and attempt to open a resident record</t>
  </si>
  <si>
    <t>EV-T11</t>
  </si>
  <si>
    <t>T12</t>
  </si>
  <si>
    <t>IAM Operator runs approved JML workflow</t>
  </si>
  <si>
    <t>IAM Operator has approved limited administration roles and valid input exists</t>
  </si>
  <si>
    <t>Run an approved Joiner, Mover, or Leaver operation</t>
  </si>
  <si>
    <t>Workflow is permitted and produces an audit log</t>
  </si>
  <si>
    <t>EV-T12</t>
  </si>
  <si>
    <t>Command transcript and workflow log</t>
  </si>
  <si>
    <t>T13</t>
  </si>
  <si>
    <t>IAM Operator cannot view resident data</t>
  </si>
  <si>
    <t>IAM Operator account is active</t>
  </si>
  <si>
    <t>Sign in as IAM Operator and attempt to open resident information</t>
  </si>
  <si>
    <t>EV-T13</t>
  </si>
  <si>
    <t>T14</t>
  </si>
  <si>
    <t>REQ-MFA</t>
  </si>
  <si>
    <t>Administrator signs in with MFA</t>
  </si>
  <si>
    <t>Positive Security</t>
  </si>
  <si>
    <t>IAMAdministrator</t>
  </si>
  <si>
    <t>IAM Administrator password and Microsoft Authenticator are configured</t>
  </si>
  <si>
    <t>Sign in as IAM Administrator and complete the MFA request</t>
  </si>
  <si>
    <t>Administrative access is granted after successful MFA</t>
  </si>
  <si>
    <t>EV-T14</t>
  </si>
  <si>
    <t>Screenshot without MFA secrets</t>
  </si>
  <si>
    <t>T15</t>
  </si>
  <si>
    <t>Administrator does not complete MFA</t>
  </si>
  <si>
    <t>Negative Security</t>
  </si>
  <si>
    <t>MFA is required for IAM Administrator</t>
  </si>
  <si>
    <t>Enter the correct password but cancel or do not complete the MFA request</t>
  </si>
  <si>
    <t>Administrative sign-in is not completed</t>
  </si>
  <si>
    <t>EV-T15</t>
  </si>
  <si>
    <t>T16</t>
  </si>
  <si>
    <t>REQ-AUTH</t>
  </si>
  <si>
    <t>Normal worker signs in through Entra</t>
  </si>
  <si>
    <t>Positive Authentication</t>
  </si>
  <si>
    <t>Mia account is enabled and application registration is configured</t>
  </si>
  <si>
    <t>Open the application and sign in as Mia using Entra</t>
  </si>
  <si>
    <t>Mia is authenticated and the application receives her authorised role</t>
  </si>
  <si>
    <t>EV-T16</t>
  </si>
  <si>
    <t>T17</t>
  </si>
  <si>
    <t>Disabled worker cannot access application</t>
  </si>
  <si>
    <t>Negative Authentication</t>
  </si>
  <si>
    <t>SC1009 Daniel Ortiz</t>
  </si>
  <si>
    <t>SC1009 exists but the account is disabled in Entra</t>
  </si>
  <si>
    <t>Attempt a new application sign-in as Daniel Ortiz</t>
  </si>
  <si>
    <t>Authentication or application access is denied</t>
  </si>
  <si>
    <t>EV-T17</t>
  </si>
  <si>
    <t>Sign-in result and application log</t>
  </si>
  <si>
    <t>T18</t>
  </si>
  <si>
    <t>REQ-JOINER</t>
  </si>
  <si>
    <t>Valid Joiner account is created</t>
  </si>
  <si>
    <t>Positive Workflow</t>
  </si>
  <si>
    <t>SC1008 Isabella Green</t>
  </si>
  <si>
    <t>SC1008 does not exist; CSV record is approved and complete</t>
  </si>
  <si>
    <t>Run the Joiner workflow using the SC1008 Active record</t>
  </si>
  <si>
    <t>Exactly one enabled account is created with correct attributes and group</t>
  </si>
  <si>
    <t>EV-T18</t>
  </si>
  <si>
    <t>User screenshot and workflow log</t>
  </si>
  <si>
    <t>T19</t>
  </si>
  <si>
    <t>Joiner without job role is rejected</t>
  </si>
  <si>
    <t>Negative Workflow</t>
  </si>
  <si>
    <t>InvalidJoiner</t>
  </si>
  <si>
    <t>CSV record contains employeeId but jobRole is blank</t>
  </si>
  <si>
    <t>Run the Joiner workflow using the invalid record</t>
  </si>
  <si>
    <t>Record is rejected; validation error is logged; no account is created</t>
  </si>
  <si>
    <t>EV-T19</t>
  </si>
  <si>
    <t>Command transcript and validation log</t>
  </si>
  <si>
    <t>T20</t>
  </si>
  <si>
    <t>Duplicate employee ID is rejected</t>
  </si>
  <si>
    <t>DuplicateJoiner</t>
  </si>
  <si>
    <t>An Entra identity already exists with the supplied employeeId</t>
  </si>
  <si>
    <t>Run Joiner workflow using another record with the same employeeId</t>
  </si>
  <si>
    <t>No second identity is created and duplicate warning is logged</t>
  </si>
  <si>
    <t>EV-T20</t>
  </si>
  <si>
    <t>Command transcript and user search</t>
  </si>
  <si>
    <t>T21</t>
  </si>
  <si>
    <t>New Joiner receives least-privilege group</t>
  </si>
  <si>
    <t>T18 completed successfully</t>
  </si>
  <si>
    <t>Open SC1008 group memberships and inspect all assignments</t>
  </si>
  <si>
    <t>Only SG-CARE-WORKERS and required baseline access are present</t>
  </si>
  <si>
    <t>EV-T21</t>
  </si>
  <si>
    <t>Group-membership screenshot</t>
  </si>
  <si>
    <t>T22</t>
  </si>
  <si>
    <t>Joiner rerun creates no duplicate</t>
  </si>
  <si>
    <t>Repeatability</t>
  </si>
  <si>
    <t>T18 completed and SC1008 already exists</t>
  </si>
  <si>
    <t>Run the identical Joiner input a second time</t>
  </si>
  <si>
    <t>No duplicate account or membership is created; result is SKIPPED_NO_CHANGE</t>
  </si>
  <si>
    <t>EV-T22</t>
  </si>
  <si>
    <t>T23</t>
  </si>
  <si>
    <t>REQ-MOVER</t>
  </si>
  <si>
    <t>Care Worker moves to Nurse</t>
  </si>
  <si>
    <t>SC1001 Mia Carter</t>
  </si>
  <si>
    <t>Mia exists and currently belongs to SG-CARE-WORKERS</t>
  </si>
  <si>
    <t>Change Mia's jobRole to Nurse and run the Mover workflow</t>
  </si>
  <si>
    <t>Same account remains; CareWorker group is removed; Nurse group is added</t>
  </si>
  <si>
    <t>EV-T23</t>
  </si>
  <si>
    <t>Before and after screenshots and log</t>
  </si>
  <si>
    <t>T24</t>
  </si>
  <si>
    <t>Old access is absent after move</t>
  </si>
  <si>
    <t>T23 completed successfully</t>
  </si>
  <si>
    <t>Inspect Mia's Entra groups and test application permissions</t>
  </si>
  <si>
    <t>Mia has Nurse access and no remaining CareWorker group membership</t>
  </si>
  <si>
    <t>EV-T24</t>
  </si>
  <si>
    <t>Group screenshot and application test</t>
  </si>
  <si>
    <t>T25</t>
  </si>
  <si>
    <t>Unknown destination role is rejected</t>
  </si>
  <si>
    <t>Mia has a valid existing role; new CSV jobRole is UnknownRole</t>
  </si>
  <si>
    <t>Run the Mover workflow with the invalid destination role</t>
  </si>
  <si>
    <t>Change is rejected and previous approved access remains</t>
  </si>
  <si>
    <t>EV-T25</t>
  </si>
  <si>
    <t>T26</t>
  </si>
  <si>
    <t>Mover rerun creates no duplicate membership</t>
  </si>
  <si>
    <t>T23 completed and Mia already has the correct Nurse group</t>
  </si>
  <si>
    <t>Run the same Mover input a second time</t>
  </si>
  <si>
    <t>No duplicate membership or additional change occurs; result is SKIPPED_NO_CHANGE</t>
  </si>
  <si>
    <t>EV-T26</t>
  </si>
  <si>
    <t>T27</t>
  </si>
  <si>
    <t>REQ-LEAVER</t>
  </si>
  <si>
    <t>Leaver account is disabled</t>
  </si>
  <si>
    <t>SC1006 Ethan Khan</t>
  </si>
  <si>
    <t>Ethan exists; account is enabled; status is Leaving; endDate has passed</t>
  </si>
  <si>
    <t>Run the Leaver workflow using Ethan's approved Leaving record</t>
  </si>
  <si>
    <t>Account is disabled immediately</t>
  </si>
  <si>
    <t>EV-T27</t>
  </si>
  <si>
    <t>User-status screenshot and workflow log</t>
  </si>
  <si>
    <t>T28</t>
  </si>
  <si>
    <t>Leaver sessions and groups are removed</t>
  </si>
  <si>
    <t>T27 has begun and Ethan previously had an active business group</t>
  </si>
  <si>
    <t>Check session-revocation result and Ethan's group memberships</t>
  </si>
  <si>
    <t>Sessions are revoked and governed business groups are removed</t>
  </si>
  <si>
    <t>EV-T28</t>
  </si>
  <si>
    <t>Group screenshot and workflow log</t>
  </si>
  <si>
    <t>T29</t>
  </si>
  <si>
    <t>Disabled leaver cannot sign in</t>
  </si>
  <si>
    <t>T27 completed and Ethan's account is disabled</t>
  </si>
  <si>
    <t>Attempt a new Entra or application sign-in as Ethan</t>
  </si>
  <si>
    <t>Sign-in is denied</t>
  </si>
  <si>
    <t>EV-T29</t>
  </si>
  <si>
    <t>Sign-in result screenshot</t>
  </si>
  <si>
    <t>T30</t>
  </si>
  <si>
    <t>Leaver identity and history are retained</t>
  </si>
  <si>
    <t>Positive Audit</t>
  </si>
  <si>
    <t>Leaver workflow completed</t>
  </si>
  <si>
    <t>Search for Ethan's user object and related audit events</t>
  </si>
  <si>
    <t>User object and historical audit evidence remain available</t>
  </si>
  <si>
    <t>EV-T30</t>
  </si>
  <si>
    <t>User screenshot and audit log</t>
  </si>
  <si>
    <t>T31</t>
  </si>
  <si>
    <t>Leaver rerun is safe</t>
  </si>
  <si>
    <t>Ethan is already disabled and governed groups are absent</t>
  </si>
  <si>
    <t>Run the identical Leaver input a second time</t>
  </si>
  <si>
    <t>Account remains disabled; no access is restored; result is SKIPPED_NO_CHANGE</t>
  </si>
  <si>
    <t>EV-T31</t>
  </si>
  <si>
    <t>T32</t>
  </si>
  <si>
    <t>REQ-REVIEW</t>
  </si>
  <si>
    <t>Access review lists current memberships</t>
  </si>
  <si>
    <t>Positive Review</t>
  </si>
  <si>
    <t>Users and role groups have been created</t>
  </si>
  <si>
    <t>Generate or open the access-review record for all governed groups</t>
  </si>
  <si>
    <t>Review shows user role group owner and reviewer decision fields</t>
  </si>
  <si>
    <t>EV-T32</t>
  </si>
  <si>
    <t>Access-review screenshot or CSV</t>
  </si>
  <si>
    <t>T33</t>
  </si>
  <si>
    <t>Access review detects excessive access</t>
  </si>
  <si>
    <t>A CareWorker is deliberately placed in SG-MANAGERS in the lab</t>
  </si>
  <si>
    <t>Run the access review and compare membership with the RBAC matrix</t>
  </si>
  <si>
    <t>Inappropriate Manager access is identified for removal</t>
  </si>
  <si>
    <t>EV-T33</t>
  </si>
  <si>
    <t>Review CSV and before screenshot</t>
  </si>
  <si>
    <t>T34</t>
  </si>
  <si>
    <t>Remove-access decision is applied</t>
  </si>
  <si>
    <t>T33 identified inappropriate Manager membership</t>
  </si>
  <si>
    <t>Approve Remove access and apply the review decision</t>
  </si>
  <si>
    <t>Incorrect SG-MANAGERS membership is removed and decision is logged</t>
  </si>
  <si>
    <t>EV-T34</t>
  </si>
  <si>
    <t>T35</t>
  </si>
  <si>
    <t>REQ-AUDIT</t>
  </si>
  <si>
    <t>Entra audit logs record identity changes</t>
  </si>
  <si>
    <t>Joiner Mover and Leaver operations have been executed</t>
  </si>
  <si>
    <t>Open Entra audit logs and search for user and group changes</t>
  </si>
  <si>
    <t>Relevant create, update, disable, and membership events are present</t>
  </si>
  <si>
    <t>EV-T35</t>
  </si>
  <si>
    <t>Audit-log screenshot and export</t>
  </si>
  <si>
    <t>T36</t>
  </si>
  <si>
    <t>Application logs record allowed and denied actions</t>
  </si>
  <si>
    <t>RBAC application tests have been executed</t>
  </si>
  <si>
    <t>Open the application audit log and search for T01 to T13 actions</t>
  </si>
  <si>
    <t>Allowed and denied actions show user action time and result</t>
  </si>
  <si>
    <t>EV-T36</t>
  </si>
  <si>
    <t>Application-log screenshot and export</t>
  </si>
  <si>
    <t>T37</t>
  </si>
  <si>
    <t>REQ-PRIVACY</t>
  </si>
  <si>
    <t>Evidence contains no secrets or real data</t>
  </si>
  <si>
    <t>Privacy Review</t>
  </si>
  <si>
    <t>IAMProjectOwner</t>
  </si>
  <si>
    <t>Test evidence has been collected</t>
  </si>
  <si>
    <t>Inspect every evidence file for secrets, personal identifiers, and real resident or workforce data</t>
  </si>
  <si>
    <t>No passwords, tokens, QR codes, recovery codes, or real resident or workforce personal data are present</t>
  </si>
  <si>
    <t>EV-T37</t>
  </si>
  <si>
    <t>Completed privacy checklist</t>
  </si>
  <si>
    <t>Requirement</t>
  </si>
  <si>
    <t>RelatedTests</t>
  </si>
  <si>
    <t>PlannedEvidence</t>
  </si>
  <si>
    <t>Purpose</t>
  </si>
  <si>
    <t>Role-based least-privilege application access</t>
  </si>
  <si>
    <t>T01-T13</t>
  </si>
  <si>
    <t>EV-T01 to EV-T13</t>
  </si>
  <si>
    <t>Prove every business role has permitted and denied actions</t>
  </si>
  <si>
    <t>Multi-factor authentication for privileged administrators</t>
  </si>
  <si>
    <t>T14-T15</t>
  </si>
  <si>
    <t>EV-T14 to EV-T15</t>
  </si>
  <si>
    <t>Prove administrator access requires MFA</t>
  </si>
  <si>
    <t>Entra authentication for application users</t>
  </si>
  <si>
    <t>T16-T17</t>
  </si>
  <si>
    <t>EV-T16 to EV-T17</t>
  </si>
  <si>
    <t>Prove active users can authenticate and disabled users are denied</t>
  </si>
  <si>
    <t>Automated Joiner identity provisioning</t>
  </si>
  <si>
    <t>T18-T22</t>
  </si>
  <si>
    <t>EV-T18 to EV-T22</t>
  </si>
  <si>
    <t>Prove valid users are created, while invalid or duplicate records are rejected safely</t>
  </si>
  <si>
    <t>Automated Mover role and access changes</t>
  </si>
  <si>
    <t>T23-T26</t>
  </si>
  <si>
    <t>EV-T23 to EV-T26</t>
  </si>
  <si>
    <t>Prove old access is removed and new approved access is assigned</t>
  </si>
  <si>
    <t>Automated Leaver access termination</t>
  </si>
  <si>
    <t>T27-T31</t>
  </si>
  <si>
    <t>EV-T27 to EV-T31</t>
  </si>
  <si>
    <t>Prove leaver accounts are disabled, sessions are revoked, and access is removed</t>
  </si>
  <si>
    <t>Periodic access review and excessive-access removal</t>
  </si>
  <si>
    <t>T32-T34</t>
  </si>
  <si>
    <t>EV-T32 to EV-T34</t>
  </si>
  <si>
    <t>Prove inappropriate access can be identified, reviewed, and removed</t>
  </si>
  <si>
    <t>Audit evidence for identity and application activity</t>
  </si>
  <si>
    <t>T35-T36</t>
  </si>
  <si>
    <t>EV-T35 to EV-T36</t>
  </si>
  <si>
    <t>Prove important allowed, denied, and administrative actions are recorded</t>
  </si>
  <si>
    <t>Privacy-safe evidence using fictional information</t>
  </si>
  <si>
    <t>Prove submitted evidence contains no secrets or real resident information</t>
  </si>
  <si>
    <t>PlannedFileName</t>
  </si>
  <si>
    <t>MaskingRequired</t>
  </si>
  <si>
    <t>Yes</t>
  </si>
  <si>
    <t>NOT CAPTURED</t>
  </si>
  <si>
    <t>TC-014</t>
  </si>
  <si>
    <t>REQ-SAFETY</t>
  </si>
  <si>
    <t>Wrong-tenant and fail-closed automation protection</t>
  </si>
  <si>
    <t>Final wrong-tenant guard-test transcript</t>
  </si>
  <si>
    <t>Prove automation validates the explicit tenant before attempting directory writes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</si>
</sst>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1"/>
      <color rgb="FFFFFFFF"/>
      <name val="Carlito"/>
    </font>
    <font>
      <i/>
      <sz val="11"/>
      <color rgb="FF5F4500"/>
      <name val="Carlito"/>
    </font>
    <font>
      <b/>
      <sz val="11"/>
      <color rgb="FF234B5A"/>
      <name val="Carlito"/>
    </font>
    <font>
      <b/>
      <sz val="11"/>
      <color rgb="FF006100"/>
      <name val="Carlito"/>
    </font>
    <font>
      <b/>
      <sz val="11"/>
      <color rgb="FF9C0006"/>
      <name val="Carlito"/>
    </font>
    <font>
      <b/>
      <sz val="11"/>
      <color rgb="FF9C6500"/>
      <name val="Carlito"/>
    </font>
    <font>
      <i/>
      <sz val="11"/>
      <color rgb="FF234B5A"/>
      <name val="Carlito"/>
    </font>
    <font>
      <i/>
      <sz val="11"/>
      <color rgb="FF475569"/>
      <name val="Carlito"/>
    </font>
  </fonts>
  <fills count="10">
    <fill>
      <patternFill patternType="none"/>
    </fill>
    <fill>
      <patternFill patternType="gray125"/>
    </fill>
    <fill>
      <patternFill patternType="solid">
        <fgColor rgb="FF0B4F6C"/>
      </patternFill>
    </fill>
    <fill>
      <patternFill patternType="solid">
        <fgColor rgb="FFFFF4CC"/>
      </patternFill>
    </fill>
    <fill>
      <patternFill patternType="solid">
        <fgColor rgb="FFEFF8FC"/>
      </patternFill>
    </fill>
    <fill>
      <patternFill patternType="solid">
        <fgColor rgb="FF0E749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8FAFC"/>
      </patternFill>
    </fill>
  </fills>
  <borders count="2">
    <border>
      <left/>
      <right/>
      <top/>
      <bottom/>
      <diagonal/>
    </border>
    <border>
      <left style="thin">
        <color rgb="FF9FB8C5"/>
      </left>
      <right style="thin">
        <color rgb="FF9FB8C5"/>
      </right>
      <top style="thin">
        <color rgb="FF9FB8C5"/>
      </top>
      <bottom style="thin">
        <color rgb="FF9FB8C5"/>
      </bottom>
      <diagonal/>
    </border>
  </borders>
  <cellStyleXfs count="1">
    <xf numFmtId="0" fontId="0" fillId="0" borderId="0"/>
  </cellStyleXfs>
  <cellXfs count="18">
    <xf numFmtId="0" fontId="0" fillId="0" borderId="0" xfId="0"/>
    <xf numFmtId="0" fontId="0" fillId="0" borderId="0" xfId="0" applyAlignment="1">
      <alignment vertical="center" wrapText="1"/>
    </xf>
    <xf numFmtId="164" fontId="0" fillId="0" borderId="0" xfId="0" applyNumberFormat="1" applyAlignment="1">
      <alignment vertical="center" wrapText="1"/>
    </xf>
    <xf numFmtId="49" fontId="0" fillId="0" borderId="0" xfId="0" applyNumberFormat="1" applyAlignment="1">
      <alignment vertical="center" wrapText="1"/>
    </xf>
    <xf numFmtId="0" fontId="1" fillId="5" borderId="1" xfId="0" applyFont="1" applyFill="1" applyBorder="1" applyAlignment="1">
      <alignment horizontal="center" vertical="center" wrapText="1"/>
    </xf>
    <xf numFmtId="0" fontId="0" fillId="0" borderId="1" xfId="0" applyBorder="1" applyAlignment="1">
      <alignment vertical="center"/>
    </xf>
    <xf numFmtId="0" fontId="4"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0" fillId="0" borderId="0" xfId="0" applyAlignment="1">
      <alignment wrapText="1"/>
    </xf>
    <xf numFmtId="164" fontId="0" fillId="0" borderId="0" xfId="0" applyNumberFormat="1" applyAlignment="1">
      <alignment wrapText="1"/>
    </xf>
    <xf numFmtId="0" fontId="0" fillId="0" borderId="0" xfId="0" applyAlignment="1">
      <alignment vertical="top" wrapText="1"/>
    </xf>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0" xfId="0" applyFont="1" applyFill="1" applyAlignment="1">
      <alignment horizontal="center"/>
    </xf>
    <xf numFmtId="0" fontId="7" fillId="4" borderId="0" xfId="0" applyFont="1" applyFill="1" applyAlignment="1">
      <alignment horizontal="left"/>
    </xf>
    <xf numFmtId="0" fontId="8" fillId="9" borderId="0" xfId="0" applyFont="1" applyFill="1" applyAlignment="1">
      <alignment horizont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asTable" displayName="PersonasTable" ref="A4:J14" totalsRowShown="0">
  <autoFilter ref="A4:J14" xr:uid="{00000000-0009-0000-0100-000001000000}"/>
  <tableColumns count="10">
    <tableColumn id="1" xr3:uid="{00000000-0010-0000-0000-000001000000}" name="employeeId"/>
    <tableColumn id="2" xr3:uid="{00000000-0010-0000-0000-000002000000}" name="displayName"/>
    <tableColumn id="3" xr3:uid="{00000000-0010-0000-0000-000003000000}" name="userPrincipalName"/>
    <tableColumn id="4" xr3:uid="{00000000-0010-0000-0000-000004000000}" name="employmentType"/>
    <tableColumn id="5" xr3:uid="{00000000-0010-0000-0000-000005000000}" name="jobRole"/>
    <tableColumn id="6" xr3:uid="{00000000-0010-0000-0000-000006000000}" name="facility"/>
    <tableColumn id="7" xr3:uid="{00000000-0010-0000-0000-000007000000}" name="managerEmployeeId"/>
    <tableColumn id="8" xr3:uid="{00000000-0010-0000-0000-000008000000}" name="startDate"/>
    <tableColumn id="9" xr3:uid="{00000000-0010-0000-0000-000009000000}" name="endDate"/>
    <tableColumn id="10" xr3:uid="{00000000-0010-0000-0000-00000A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stResidentsTable" displayName="TestResidentsTable" ref="A4:F7" totalsRowShown="0">
  <autoFilter ref="A4:F7" xr:uid="{00000000-0009-0000-0100-000002000000}"/>
  <tableColumns count="6">
    <tableColumn id="1" xr3:uid="{00000000-0010-0000-0100-000001000000}" name="residentId"/>
    <tableColumn id="2" xr3:uid="{00000000-0010-0000-0100-000002000000}" name="displayName"/>
    <tableColumn id="3" xr3:uid="{00000000-0010-0000-0100-000003000000}" name="facility"/>
    <tableColumn id="4" xr3:uid="{00000000-0010-0000-0100-000004000000}" name="classification"/>
    <tableColumn id="5" xr3:uid="{00000000-0010-0000-0100-000005000000}" name="dataLabel"/>
    <tableColumn id="6" xr3:uid="{00000000-0010-0000-0100-000006000000}" name="assignedEmployeeI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bacDecisionTable" displayName="RbacDecisionTable" ref="A4:D12" totalsRowShown="0">
  <autoFilter ref="A4:D12" xr:uid="{00000000-0009-0000-0100-000003000000}"/>
  <tableColumns count="4">
    <tableColumn id="1" xr3:uid="{00000000-0010-0000-0200-000001000000}" name="Permission"/>
    <tableColumn id="2" xr3:uid="{00000000-0010-0000-0200-000002000000}" name="Allowed roles"/>
    <tableColumn id="3" xr3:uid="{00000000-0010-0000-0200-000003000000}" name="Business reason"/>
    <tableColumn id="4" xr3:uid="{00000000-0010-0000-0200-000004000000}" name="Approving own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ngeLogTable" displayName="ChangeLogTable" ref="A3:D5" totalsRowShown="0">
  <autoFilter ref="A3:D5" xr:uid="{00000000-0009-0000-0100-000004000000}"/>
  <tableColumns count="4">
    <tableColumn id="1" xr3:uid="{00000000-0010-0000-0300-000001000000}" name="Version"/>
    <tableColumn id="2" xr3:uid="{00000000-0010-0000-0300-000002000000}" name="Date"/>
    <tableColumn id="3" xr3:uid="{00000000-0010-0000-0300-000003000000}" name="Change"/>
    <tableColumn id="4" xr3:uid="{00000000-0010-0000-0300-000004000000}" name="Approved b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JmlWorkflowTable" displayName="JmlWorkflowTable" ref="A5:F9" totalsRowShown="0">
  <autoFilter ref="A5:F9" xr:uid="{00000000-0009-0000-0100-000005000000}"/>
  <tableColumns count="6">
    <tableColumn id="1" xr3:uid="{00000000-0010-0000-0400-000001000000}" name="Event"/>
    <tableColumn id="2" xr3:uid="{00000000-0010-0000-0400-000002000000}" name="Trigger"/>
    <tableColumn id="3" xr3:uid="{00000000-0010-0000-0400-000003000000}" name="Owner"/>
    <tableColumn id="4" xr3:uid="{00000000-0010-0000-0400-000004000000}" name="Main actions"/>
    <tableColumn id="5" xr3:uid="{00000000-0010-0000-0400-000005000000}" name="Success verification"/>
    <tableColumn id="6" xr3:uid="{00000000-0010-0000-0400-000006000000}" name="Rollbac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JmlValidationTable" displayName="JmlValidationTable" ref="A4:C17" totalsRowShown="0">
  <autoFilter ref="A4:C17" xr:uid="{00000000-0009-0000-0100-000006000000}"/>
  <tableColumns count="3">
    <tableColumn id="1" xr3:uid="{00000000-0010-0000-0500-000001000000}" name="Field"/>
    <tableColumn id="2" xr3:uid="{00000000-0010-0000-0500-000002000000}" name="Validation rule"/>
    <tableColumn id="3" xr3:uid="{00000000-0010-0000-0500-000003000000}" name="Failure respons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JmlRollbackTable" displayName="JmlRollbackTable" ref="A4:B13" totalsRowShown="0">
  <autoFilter ref="A4:B13" xr:uid="{00000000-0009-0000-0100-000007000000}"/>
  <tableColumns count="2">
    <tableColumn id="1" xr3:uid="{00000000-0010-0000-0600-000001000000}" name="Failure"/>
    <tableColumn id="2" xr3:uid="{00000000-0010-0000-0600-000002000000}" name="Safe respons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estPlanTable" displayName="TestPlanTable" ref="A1:L38" totalsRowShown="0">
  <autoFilter ref="A1:L38" xr:uid="{00000000-0009-0000-0100-000008000000}"/>
  <tableColumns count="12">
    <tableColumn id="1" xr3:uid="{00000000-0010-0000-0700-000001000000}" name="TestID"/>
    <tableColumn id="2" xr3:uid="{00000000-0010-0000-0700-000002000000}" name="RequirementID"/>
    <tableColumn id="3" xr3:uid="{00000000-0010-0000-0700-000003000000}" name="TestName"/>
    <tableColumn id="4" xr3:uid="{00000000-0010-0000-0700-000004000000}" name="TestType"/>
    <tableColumn id="5" xr3:uid="{00000000-0010-0000-0700-000005000000}" name="Persona"/>
    <tableColumn id="6" xr3:uid="{00000000-0010-0000-0700-000006000000}" name="Preconditions"/>
    <tableColumn id="7" xr3:uid="{00000000-0010-0000-0700-000007000000}" name="TestActions"/>
    <tableColumn id="8" xr3:uid="{00000000-0010-0000-0700-000008000000}" name="ExpectedResult"/>
    <tableColumn id="9" xr3:uid="{00000000-0010-0000-0700-000009000000}" name="EvidenceID"/>
    <tableColumn id="10" xr3:uid="{00000000-0010-0000-0700-00000A000000}" name="EvidenceType"/>
    <tableColumn id="11" xr3:uid="{00000000-0010-0000-0700-00000B000000}" name="ActualResult"/>
    <tableColumn id="12" xr3:uid="{00000000-0010-0000-0700-00000C000000}" name="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quirementsTraceabilityTable" displayName="RequirementsTraceabilityTable" ref="A1:E11" totalsRowShown="0">
  <autoFilter ref="A1:E11" xr:uid="{00000000-0009-0000-0100-000009000000}"/>
  <tableColumns count="5">
    <tableColumn id="1" xr3:uid="{00000000-0010-0000-0800-000001000000}" name="RequirementID"/>
    <tableColumn id="2" xr3:uid="{00000000-0010-0000-0800-000002000000}" name="Requirement"/>
    <tableColumn id="3" xr3:uid="{00000000-0010-0000-0800-000003000000}" name="RelatedTests"/>
    <tableColumn id="4" xr3:uid="{00000000-0010-0000-0800-000004000000}" name="PlannedEvidence"/>
    <tableColumn id="5" xr3:uid="{00000000-0010-0000-0800-000005000000}" name="Purpos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videnceIndexTable" displayName="EvidenceIndexTable" ref="A1:F38" totalsRowShown="0">
  <autoFilter ref="A1:F38" xr:uid="{00000000-0009-0000-0100-00000A000000}"/>
  <tableColumns count="6">
    <tableColumn id="1" xr3:uid="{00000000-0010-0000-0900-000001000000}" name="EvidenceID"/>
    <tableColumn id="2" xr3:uid="{00000000-0010-0000-0900-000002000000}" name="TestID"/>
    <tableColumn id="3" xr3:uid="{00000000-0010-0000-0900-000003000000}" name="PlannedFileName"/>
    <tableColumn id="4" xr3:uid="{00000000-0010-0000-0900-000004000000}" name="EvidenceType"/>
    <tableColumn id="5" xr3:uid="{00000000-0010-0000-0900-000005000000}" name="MaskingRequired"/>
    <tableColumn id="6" xr3:uid="{00000000-0010-0000-0900-000006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showGridLines="0" workbookViewId="0">
      <selection sqref="A1:J1"/>
    </sheetView>
  </sheetViews>
  <sheetFormatPr baseColWidth="10" defaultColWidth="8.83203125" defaultRowHeight="14"/>
  <cols>
    <col min="1" max="1" width="13" customWidth="1"/>
    <col min="2" max="2" width="24" customWidth="1"/>
    <col min="3" max="3" width="46" customWidth="1"/>
    <col min="4" max="5" width="16" customWidth="1"/>
    <col min="6" max="6" width="14" customWidth="1"/>
    <col min="7" max="7" width="19" customWidth="1"/>
    <col min="8" max="9" width="14" customWidth="1"/>
    <col min="10" max="10" width="12" customWidth="1"/>
  </cols>
  <sheetData>
    <row r="1" spans="1:10" ht="30" customHeight="1">
      <c r="A1" s="12" t="s">
        <v>0</v>
      </c>
      <c r="B1" s="12" t="s">
        <v>0</v>
      </c>
      <c r="C1" s="12" t="s">
        <v>0</v>
      </c>
      <c r="D1" s="12" t="s">
        <v>0</v>
      </c>
      <c r="E1" s="12" t="s">
        <v>0</v>
      </c>
      <c r="F1" s="12" t="s">
        <v>0</v>
      </c>
      <c r="G1" s="12" t="s">
        <v>0</v>
      </c>
      <c r="H1" s="12" t="s">
        <v>0</v>
      </c>
      <c r="I1" s="12" t="s">
        <v>0</v>
      </c>
      <c r="J1" s="12" t="s">
        <v>0</v>
      </c>
    </row>
    <row r="2" spans="1:10" ht="36" customHeight="1">
      <c r="A2" s="13" t="s">
        <v>1</v>
      </c>
      <c r="B2" s="13" t="s">
        <v>1</v>
      </c>
      <c r="C2" s="13" t="s">
        <v>1</v>
      </c>
      <c r="D2" s="13" t="s">
        <v>1</v>
      </c>
      <c r="E2" s="13" t="s">
        <v>1</v>
      </c>
      <c r="F2" s="13" t="s">
        <v>1</v>
      </c>
      <c r="G2" s="13" t="s">
        <v>1</v>
      </c>
      <c r="H2" s="13" t="s">
        <v>1</v>
      </c>
      <c r="I2" s="13" t="s">
        <v>1</v>
      </c>
      <c r="J2" s="13" t="s">
        <v>1</v>
      </c>
    </row>
    <row r="4" spans="1:10" ht="15">
      <c r="A4" s="1" t="s">
        <v>2</v>
      </c>
      <c r="B4" s="1" t="s">
        <v>3</v>
      </c>
      <c r="C4" s="1" t="s">
        <v>4</v>
      </c>
      <c r="D4" s="1" t="s">
        <v>5</v>
      </c>
      <c r="E4" s="1" t="s">
        <v>6</v>
      </c>
      <c r="F4" s="1" t="s">
        <v>7</v>
      </c>
      <c r="G4" s="1" t="s">
        <v>8</v>
      </c>
      <c r="H4" s="1" t="s">
        <v>9</v>
      </c>
      <c r="I4" s="1" t="s">
        <v>10</v>
      </c>
      <c r="J4" s="1" t="s">
        <v>11</v>
      </c>
    </row>
    <row r="5" spans="1:10" ht="15">
      <c r="A5" s="3" t="s">
        <v>12</v>
      </c>
      <c r="B5" s="1" t="s">
        <v>13</v>
      </c>
      <c r="C5" s="1" t="s">
        <v>14</v>
      </c>
      <c r="D5" s="1" t="s">
        <v>15</v>
      </c>
      <c r="E5" s="1" t="s">
        <v>16</v>
      </c>
      <c r="F5" s="1" t="s">
        <v>17</v>
      </c>
      <c r="G5" s="1" t="s">
        <v>18</v>
      </c>
      <c r="H5" s="2">
        <v>46204</v>
      </c>
      <c r="I5" s="2"/>
      <c r="J5" s="1" t="s">
        <v>19</v>
      </c>
    </row>
    <row r="6" spans="1:10" ht="15">
      <c r="A6" s="3" t="s">
        <v>20</v>
      </c>
      <c r="B6" s="1" t="s">
        <v>21</v>
      </c>
      <c r="C6" s="1" t="s">
        <v>22</v>
      </c>
      <c r="D6" s="1" t="s">
        <v>15</v>
      </c>
      <c r="E6" s="1" t="s">
        <v>23</v>
      </c>
      <c r="F6" s="1" t="s">
        <v>17</v>
      </c>
      <c r="G6" s="1" t="s">
        <v>18</v>
      </c>
      <c r="H6" s="2">
        <v>46205</v>
      </c>
      <c r="I6" s="2"/>
      <c r="J6" s="1" t="s">
        <v>19</v>
      </c>
    </row>
    <row r="7" spans="1:10" ht="15">
      <c r="A7" s="3" t="s">
        <v>18</v>
      </c>
      <c r="B7" s="1" t="s">
        <v>24</v>
      </c>
      <c r="C7" s="1" t="s">
        <v>25</v>
      </c>
      <c r="D7" s="1" t="s">
        <v>15</v>
      </c>
      <c r="E7" s="1" t="s">
        <v>26</v>
      </c>
      <c r="F7" s="1" t="s">
        <v>17</v>
      </c>
      <c r="G7" s="1"/>
      <c r="H7" s="2">
        <v>46206</v>
      </c>
      <c r="I7" s="2"/>
      <c r="J7" s="1" t="s">
        <v>19</v>
      </c>
    </row>
    <row r="8" spans="1:10" ht="15">
      <c r="A8" s="3" t="s">
        <v>27</v>
      </c>
      <c r="B8" s="1" t="s">
        <v>28</v>
      </c>
      <c r="C8" s="1" t="s">
        <v>29</v>
      </c>
      <c r="D8" s="1" t="s">
        <v>30</v>
      </c>
      <c r="E8" s="1" t="s">
        <v>31</v>
      </c>
      <c r="F8" s="1" t="s">
        <v>17</v>
      </c>
      <c r="G8" s="1" t="s">
        <v>18</v>
      </c>
      <c r="H8" s="2">
        <v>46235</v>
      </c>
      <c r="I8" s="2">
        <v>46254</v>
      </c>
      <c r="J8" s="1" t="s">
        <v>19</v>
      </c>
    </row>
    <row r="9" spans="1:10" ht="15">
      <c r="A9" s="3" t="s">
        <v>32</v>
      </c>
      <c r="B9" s="1" t="s">
        <v>33</v>
      </c>
      <c r="C9" s="1" t="s">
        <v>34</v>
      </c>
      <c r="D9" s="1" t="s">
        <v>35</v>
      </c>
      <c r="E9" s="1" t="s">
        <v>36</v>
      </c>
      <c r="F9" s="1" t="s">
        <v>37</v>
      </c>
      <c r="G9" s="1"/>
      <c r="H9" s="2">
        <v>46208</v>
      </c>
      <c r="I9" s="2">
        <v>46265</v>
      </c>
      <c r="J9" s="1" t="s">
        <v>19</v>
      </c>
    </row>
    <row r="10" spans="1:10" ht="15">
      <c r="A10" s="3" t="s">
        <v>38</v>
      </c>
      <c r="B10" s="1" t="s">
        <v>39</v>
      </c>
      <c r="C10" s="1" t="s">
        <v>40</v>
      </c>
      <c r="D10" s="1" t="s">
        <v>15</v>
      </c>
      <c r="E10" s="1" t="s">
        <v>16</v>
      </c>
      <c r="F10" s="1" t="s">
        <v>17</v>
      </c>
      <c r="G10" s="1" t="s">
        <v>18</v>
      </c>
      <c r="H10" s="2">
        <v>46209</v>
      </c>
      <c r="I10" s="2">
        <v>46239</v>
      </c>
      <c r="J10" s="1" t="s">
        <v>41</v>
      </c>
    </row>
    <row r="11" spans="1:10" ht="15">
      <c r="A11" s="3" t="s">
        <v>42</v>
      </c>
      <c r="B11" s="1" t="s">
        <v>43</v>
      </c>
      <c r="C11" s="1" t="s">
        <v>44</v>
      </c>
      <c r="D11" s="1" t="s">
        <v>15</v>
      </c>
      <c r="E11" s="1" t="s">
        <v>45</v>
      </c>
      <c r="F11" s="1" t="s">
        <v>37</v>
      </c>
      <c r="G11" s="1"/>
      <c r="H11" s="2">
        <v>46210</v>
      </c>
      <c r="I11" s="2"/>
      <c r="J11" s="1" t="s">
        <v>19</v>
      </c>
    </row>
    <row r="12" spans="1:10" ht="15">
      <c r="A12" s="3" t="s">
        <v>46</v>
      </c>
      <c r="B12" s="1" t="s">
        <v>47</v>
      </c>
      <c r="C12" s="1" t="s">
        <v>48</v>
      </c>
      <c r="D12" s="1" t="s">
        <v>15</v>
      </c>
      <c r="E12" s="1" t="s">
        <v>16</v>
      </c>
      <c r="F12" s="1" t="s">
        <v>17</v>
      </c>
      <c r="G12" s="1" t="s">
        <v>18</v>
      </c>
      <c r="H12" s="2">
        <v>46241</v>
      </c>
      <c r="I12" s="2"/>
      <c r="J12" s="1" t="s">
        <v>19</v>
      </c>
    </row>
    <row r="13" spans="1:10" ht="15">
      <c r="A13" s="3" t="s">
        <v>49</v>
      </c>
      <c r="B13" s="1" t="s">
        <v>50</v>
      </c>
      <c r="C13" s="1" t="s">
        <v>51</v>
      </c>
      <c r="D13" s="1" t="s">
        <v>15</v>
      </c>
      <c r="E13" s="1" t="s">
        <v>16</v>
      </c>
      <c r="F13" s="1" t="s">
        <v>17</v>
      </c>
      <c r="G13" s="1" t="s">
        <v>18</v>
      </c>
      <c r="H13" s="2">
        <v>46211</v>
      </c>
      <c r="I13" s="2">
        <v>46235</v>
      </c>
      <c r="J13" s="1" t="s">
        <v>52</v>
      </c>
    </row>
    <row r="14" spans="1:10" ht="15">
      <c r="A14" s="3" t="s">
        <v>53</v>
      </c>
      <c r="B14" s="1" t="s">
        <v>54</v>
      </c>
      <c r="C14" s="1" t="s">
        <v>55</v>
      </c>
      <c r="D14" s="1" t="s">
        <v>30</v>
      </c>
      <c r="E14" s="1" t="s">
        <v>31</v>
      </c>
      <c r="F14" s="1" t="s">
        <v>17</v>
      </c>
      <c r="G14" s="1" t="s">
        <v>18</v>
      </c>
      <c r="H14" s="2">
        <v>46204</v>
      </c>
      <c r="I14" s="2">
        <v>46234</v>
      </c>
      <c r="J14" s="1" t="s">
        <v>52</v>
      </c>
    </row>
  </sheetData>
  <mergeCells count="2">
    <mergeCell ref="A1:J1"/>
    <mergeCell ref="A2:J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showGridLines="0" workbookViewId="0">
      <selection sqref="A1:F1"/>
    </sheetView>
  </sheetViews>
  <sheetFormatPr baseColWidth="10" defaultColWidth="8.83203125" defaultRowHeight="14"/>
  <cols>
    <col min="1" max="1" width="14" customWidth="1"/>
    <col min="2" max="2" width="26" customWidth="1"/>
    <col min="3" max="3" width="14" customWidth="1"/>
    <col min="4" max="4" width="18" customWidth="1"/>
    <col min="5" max="6" width="24" customWidth="1"/>
  </cols>
  <sheetData>
    <row r="1" spans="1:6" ht="30" customHeight="1">
      <c r="A1" s="12" t="s">
        <v>56</v>
      </c>
      <c r="B1" s="12" t="s">
        <v>56</v>
      </c>
      <c r="C1" s="12" t="s">
        <v>56</v>
      </c>
      <c r="D1" s="12" t="s">
        <v>56</v>
      </c>
      <c r="E1" s="12" t="s">
        <v>56</v>
      </c>
      <c r="F1" s="12" t="s">
        <v>56</v>
      </c>
    </row>
    <row r="2" spans="1:6" ht="36" customHeight="1">
      <c r="A2" s="13" t="s">
        <v>57</v>
      </c>
      <c r="B2" s="13" t="s">
        <v>57</v>
      </c>
      <c r="C2" s="13" t="s">
        <v>57</v>
      </c>
      <c r="D2" s="13" t="s">
        <v>57</v>
      </c>
      <c r="E2" s="13" t="s">
        <v>57</v>
      </c>
      <c r="F2" s="13" t="s">
        <v>57</v>
      </c>
    </row>
    <row r="4" spans="1:6" ht="15">
      <c r="A4" s="1" t="s">
        <v>58</v>
      </c>
      <c r="B4" s="1" t="s">
        <v>3</v>
      </c>
      <c r="C4" s="1" t="s">
        <v>7</v>
      </c>
      <c r="D4" s="1" t="s">
        <v>59</v>
      </c>
      <c r="E4" s="1" t="s">
        <v>60</v>
      </c>
      <c r="F4" s="1" t="s">
        <v>61</v>
      </c>
    </row>
    <row r="5" spans="1:6" ht="15">
      <c r="A5" s="1" t="s">
        <v>62</v>
      </c>
      <c r="B5" s="1" t="s">
        <v>63</v>
      </c>
      <c r="C5" s="1" t="s">
        <v>17</v>
      </c>
      <c r="D5" s="1" t="s">
        <v>64</v>
      </c>
      <c r="E5" s="1" t="s">
        <v>65</v>
      </c>
      <c r="F5" s="1" t="s">
        <v>66</v>
      </c>
    </row>
    <row r="6" spans="1:6" ht="15">
      <c r="A6" s="1" t="s">
        <v>67</v>
      </c>
      <c r="B6" s="1" t="s">
        <v>68</v>
      </c>
      <c r="C6" s="1" t="s">
        <v>17</v>
      </c>
      <c r="D6" s="1" t="s">
        <v>69</v>
      </c>
      <c r="E6" s="1" t="s">
        <v>65</v>
      </c>
      <c r="F6" s="1" t="s">
        <v>20</v>
      </c>
    </row>
    <row r="7" spans="1:6" ht="15">
      <c r="A7" s="1" t="s">
        <v>70</v>
      </c>
      <c r="B7" s="1" t="s">
        <v>71</v>
      </c>
      <c r="C7" s="1" t="s">
        <v>72</v>
      </c>
      <c r="D7" s="1" t="s">
        <v>64</v>
      </c>
      <c r="E7" s="1" t="s">
        <v>65</v>
      </c>
      <c r="F7" s="1"/>
    </row>
  </sheetData>
  <mergeCells count="2">
    <mergeCell ref="A1:F1"/>
    <mergeCell ref="A2:F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showGridLines="0" workbookViewId="0">
      <selection sqref="A1:I1"/>
    </sheetView>
  </sheetViews>
  <sheetFormatPr baseColWidth="10" defaultColWidth="8.83203125" defaultRowHeight="14"/>
  <cols>
    <col min="1" max="1" width="18" customWidth="1"/>
    <col min="2" max="9" width="22" customWidth="1"/>
  </cols>
  <sheetData>
    <row r="1" spans="1:9" ht="30" customHeight="1">
      <c r="A1" s="12" t="s">
        <v>73</v>
      </c>
      <c r="B1" s="12" t="s">
        <v>73</v>
      </c>
      <c r="C1" s="12" t="s">
        <v>73</v>
      </c>
      <c r="D1" s="12" t="s">
        <v>73</v>
      </c>
      <c r="E1" s="12" t="s">
        <v>73</v>
      </c>
      <c r="F1" s="12" t="s">
        <v>73</v>
      </c>
      <c r="G1" s="12" t="s">
        <v>73</v>
      </c>
      <c r="H1" s="12" t="s">
        <v>73</v>
      </c>
      <c r="I1" s="12" t="s">
        <v>73</v>
      </c>
    </row>
    <row r="2" spans="1:9" ht="15">
      <c r="A2" s="14" t="s">
        <v>74</v>
      </c>
      <c r="B2" s="14" t="s">
        <v>74</v>
      </c>
      <c r="C2" s="14" t="s">
        <v>74</v>
      </c>
      <c r="D2" s="14" t="s">
        <v>74</v>
      </c>
      <c r="E2" s="14" t="s">
        <v>74</v>
      </c>
      <c r="F2" s="14" t="s">
        <v>74</v>
      </c>
      <c r="G2" s="14" t="s">
        <v>74</v>
      </c>
      <c r="H2" s="14" t="s">
        <v>74</v>
      </c>
      <c r="I2" s="14" t="s">
        <v>74</v>
      </c>
    </row>
    <row r="4" spans="1:9" ht="28" customHeight="1">
      <c r="A4" s="4" t="s">
        <v>75</v>
      </c>
      <c r="B4" s="4" t="s">
        <v>76</v>
      </c>
      <c r="C4" s="4" t="s">
        <v>77</v>
      </c>
      <c r="D4" s="4" t="s">
        <v>78</v>
      </c>
      <c r="E4" s="4" t="s">
        <v>79</v>
      </c>
      <c r="F4" s="4" t="s">
        <v>80</v>
      </c>
      <c r="G4" s="4" t="s">
        <v>81</v>
      </c>
      <c r="H4" s="4" t="s">
        <v>82</v>
      </c>
      <c r="I4" s="4" t="s">
        <v>83</v>
      </c>
    </row>
    <row r="5" spans="1:9" ht="15">
      <c r="A5" s="5" t="s">
        <v>16</v>
      </c>
      <c r="B5" s="6" t="s">
        <v>84</v>
      </c>
      <c r="C5" s="7" t="s">
        <v>85</v>
      </c>
      <c r="D5" s="6" t="s">
        <v>84</v>
      </c>
      <c r="E5" s="7" t="s">
        <v>85</v>
      </c>
      <c r="F5" s="7" t="s">
        <v>85</v>
      </c>
      <c r="G5" s="7" t="s">
        <v>85</v>
      </c>
      <c r="H5" s="7" t="s">
        <v>85</v>
      </c>
      <c r="I5" s="7" t="s">
        <v>85</v>
      </c>
    </row>
    <row r="6" spans="1:9" ht="15">
      <c r="A6" s="5" t="s">
        <v>23</v>
      </c>
      <c r="B6" s="6" t="s">
        <v>84</v>
      </c>
      <c r="C6" s="7" t="s">
        <v>85</v>
      </c>
      <c r="D6" s="6" t="s">
        <v>84</v>
      </c>
      <c r="E6" s="6" t="s">
        <v>84</v>
      </c>
      <c r="F6" s="7" t="s">
        <v>85</v>
      </c>
      <c r="G6" s="7" t="s">
        <v>85</v>
      </c>
      <c r="H6" s="7" t="s">
        <v>85</v>
      </c>
      <c r="I6" s="7" t="s">
        <v>85</v>
      </c>
    </row>
    <row r="7" spans="1:9" ht="15">
      <c r="A7" s="5" t="s">
        <v>26</v>
      </c>
      <c r="B7" s="6" t="s">
        <v>84</v>
      </c>
      <c r="C7" s="6" t="s">
        <v>84</v>
      </c>
      <c r="D7" s="7" t="s">
        <v>85</v>
      </c>
      <c r="E7" s="7" t="s">
        <v>85</v>
      </c>
      <c r="F7" s="6" t="s">
        <v>84</v>
      </c>
      <c r="G7" s="6" t="s">
        <v>84</v>
      </c>
      <c r="H7" s="7" t="s">
        <v>85</v>
      </c>
      <c r="I7" s="6" t="s">
        <v>84</v>
      </c>
    </row>
    <row r="8" spans="1:9" ht="15">
      <c r="A8" s="5" t="s">
        <v>31</v>
      </c>
      <c r="B8" s="8" t="s">
        <v>86</v>
      </c>
      <c r="C8" s="7" t="s">
        <v>85</v>
      </c>
      <c r="D8" s="8" t="s">
        <v>86</v>
      </c>
      <c r="E8" s="7" t="s">
        <v>85</v>
      </c>
      <c r="F8" s="7" t="s">
        <v>85</v>
      </c>
      <c r="G8" s="7" t="s">
        <v>85</v>
      </c>
      <c r="H8" s="7" t="s">
        <v>85</v>
      </c>
      <c r="I8" s="7" t="s">
        <v>85</v>
      </c>
    </row>
    <row r="9" spans="1:9" ht="15">
      <c r="A9" s="5" t="s">
        <v>36</v>
      </c>
      <c r="B9" s="7" t="s">
        <v>85</v>
      </c>
      <c r="C9" s="7" t="s">
        <v>85</v>
      </c>
      <c r="D9" s="7" t="s">
        <v>85</v>
      </c>
      <c r="E9" s="7" t="s">
        <v>85</v>
      </c>
      <c r="F9" s="7" t="s">
        <v>85</v>
      </c>
      <c r="G9" s="7" t="s">
        <v>85</v>
      </c>
      <c r="H9" s="7" t="s">
        <v>85</v>
      </c>
      <c r="I9" s="6" t="s">
        <v>84</v>
      </c>
    </row>
    <row r="10" spans="1:9" ht="15">
      <c r="A10" s="5" t="s">
        <v>45</v>
      </c>
      <c r="B10" s="7" t="s">
        <v>85</v>
      </c>
      <c r="C10" s="7" t="s">
        <v>85</v>
      </c>
      <c r="D10" s="7" t="s">
        <v>85</v>
      </c>
      <c r="E10" s="7" t="s">
        <v>85</v>
      </c>
      <c r="F10" s="7" t="s">
        <v>85</v>
      </c>
      <c r="G10" s="7" t="s">
        <v>85</v>
      </c>
      <c r="H10" s="6" t="s">
        <v>84</v>
      </c>
      <c r="I10" s="6" t="s">
        <v>84</v>
      </c>
    </row>
    <row r="12" spans="1:9" ht="36" customHeight="1">
      <c r="A12" s="13" t="s">
        <v>87</v>
      </c>
      <c r="B12" s="13" t="s">
        <v>87</v>
      </c>
      <c r="C12" s="13" t="s">
        <v>87</v>
      </c>
      <c r="D12" s="13" t="s">
        <v>87</v>
      </c>
      <c r="E12" s="13" t="s">
        <v>87</v>
      </c>
      <c r="F12" s="13" t="s">
        <v>87</v>
      </c>
      <c r="G12" s="13" t="s">
        <v>87</v>
      </c>
      <c r="H12" s="13" t="s">
        <v>87</v>
      </c>
      <c r="I12" s="13" t="s">
        <v>87</v>
      </c>
    </row>
    <row r="13" spans="1:9" ht="15">
      <c r="A13" s="15" t="s">
        <v>88</v>
      </c>
      <c r="B13" s="15" t="s">
        <v>88</v>
      </c>
      <c r="C13" s="15" t="s">
        <v>88</v>
      </c>
      <c r="D13" s="15" t="s">
        <v>88</v>
      </c>
      <c r="E13" s="15" t="s">
        <v>88</v>
      </c>
      <c r="F13" s="15" t="s">
        <v>88</v>
      </c>
      <c r="G13" s="15" t="s">
        <v>88</v>
      </c>
      <c r="H13" s="15" t="s">
        <v>88</v>
      </c>
      <c r="I13" s="15" t="s">
        <v>88</v>
      </c>
    </row>
  </sheetData>
  <mergeCells count="4">
    <mergeCell ref="A1:I1"/>
    <mergeCell ref="A2:I2"/>
    <mergeCell ref="A12:I12"/>
    <mergeCell ref="A13:I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showGridLines="0" workbookViewId="0">
      <selection sqref="A1:D1"/>
    </sheetView>
  </sheetViews>
  <sheetFormatPr baseColWidth="10" defaultColWidth="8.83203125" defaultRowHeight="14"/>
  <cols>
    <col min="1" max="1" width="28" customWidth="1"/>
    <col min="2" max="2" width="44" customWidth="1"/>
    <col min="3" max="3" width="64" customWidth="1"/>
    <col min="4" max="4" width="24" customWidth="1"/>
  </cols>
  <sheetData>
    <row r="1" spans="1:4" ht="30" customHeight="1">
      <c r="A1" s="12" t="s">
        <v>89</v>
      </c>
      <c r="B1" s="12" t="s">
        <v>89</v>
      </c>
      <c r="C1" s="12" t="s">
        <v>89</v>
      </c>
      <c r="D1" s="12" t="s">
        <v>89</v>
      </c>
    </row>
    <row r="2" spans="1:4" ht="15">
      <c r="A2" s="14" t="s">
        <v>90</v>
      </c>
      <c r="B2" s="14" t="s">
        <v>90</v>
      </c>
      <c r="C2" s="14" t="s">
        <v>90</v>
      </c>
      <c r="D2" s="14" t="s">
        <v>90</v>
      </c>
    </row>
    <row r="4" spans="1:4" ht="15">
      <c r="A4" s="9" t="s">
        <v>91</v>
      </c>
      <c r="B4" s="9" t="s">
        <v>92</v>
      </c>
      <c r="C4" s="9" t="s">
        <v>93</v>
      </c>
      <c r="D4" s="9" t="s">
        <v>94</v>
      </c>
    </row>
    <row r="5" spans="1:4" ht="15">
      <c r="A5" s="9" t="s">
        <v>76</v>
      </c>
      <c r="B5" s="9" t="s">
        <v>95</v>
      </c>
      <c r="C5" s="9" t="s">
        <v>96</v>
      </c>
      <c r="D5" s="9" t="s">
        <v>97</v>
      </c>
    </row>
    <row r="6" spans="1:4" ht="15">
      <c r="A6" s="9" t="s">
        <v>77</v>
      </c>
      <c r="B6" s="9" t="s">
        <v>26</v>
      </c>
      <c r="C6" s="9" t="s">
        <v>98</v>
      </c>
      <c r="D6" s="9" t="s">
        <v>99</v>
      </c>
    </row>
    <row r="7" spans="1:4" ht="15">
      <c r="A7" s="9" t="s">
        <v>78</v>
      </c>
      <c r="B7" s="9" t="s">
        <v>100</v>
      </c>
      <c r="C7" s="9" t="s">
        <v>101</v>
      </c>
      <c r="D7" s="9" t="s">
        <v>97</v>
      </c>
    </row>
    <row r="8" spans="1:4" ht="15">
      <c r="A8" s="9" t="s">
        <v>79</v>
      </c>
      <c r="B8" s="9" t="s">
        <v>23</v>
      </c>
      <c r="C8" s="9" t="s">
        <v>102</v>
      </c>
      <c r="D8" s="9" t="s">
        <v>103</v>
      </c>
    </row>
    <row r="9" spans="1:4" ht="15">
      <c r="A9" s="9" t="s">
        <v>80</v>
      </c>
      <c r="B9" s="9" t="s">
        <v>26</v>
      </c>
      <c r="C9" s="9" t="s">
        <v>104</v>
      </c>
      <c r="D9" s="9" t="s">
        <v>99</v>
      </c>
    </row>
    <row r="10" spans="1:4" ht="15">
      <c r="A10" s="9" t="s">
        <v>81</v>
      </c>
      <c r="B10" s="9" t="s">
        <v>26</v>
      </c>
      <c r="C10" s="9" t="s">
        <v>105</v>
      </c>
      <c r="D10" s="9" t="s">
        <v>106</v>
      </c>
    </row>
    <row r="11" spans="1:4" ht="15">
      <c r="A11" s="9" t="s">
        <v>82</v>
      </c>
      <c r="B11" s="9" t="s">
        <v>45</v>
      </c>
      <c r="C11" s="9" t="s">
        <v>107</v>
      </c>
      <c r="D11" s="9" t="s">
        <v>106</v>
      </c>
    </row>
    <row r="12" spans="1:4" ht="15">
      <c r="A12" s="9" t="s">
        <v>83</v>
      </c>
      <c r="B12" s="9" t="s">
        <v>108</v>
      </c>
      <c r="C12" s="9" t="s">
        <v>109</v>
      </c>
      <c r="D12" s="9" t="s">
        <v>110</v>
      </c>
    </row>
    <row r="13" spans="1:4">
      <c r="A13" s="9"/>
      <c r="B13" s="9"/>
      <c r="C13" s="9"/>
      <c r="D13" s="9"/>
    </row>
    <row r="14" spans="1:4" ht="36" customHeight="1">
      <c r="A14" s="13" t="s">
        <v>111</v>
      </c>
      <c r="B14" s="13" t="s">
        <v>111</v>
      </c>
      <c r="C14" s="13" t="s">
        <v>111</v>
      </c>
      <c r="D14" s="13" t="s">
        <v>111</v>
      </c>
    </row>
  </sheetData>
  <mergeCells count="3">
    <mergeCell ref="A1:D1"/>
    <mergeCell ref="A2:D2"/>
    <mergeCell ref="A14:D1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showGridLines="0" workbookViewId="0">
      <selection sqref="A1:D1"/>
    </sheetView>
  </sheetViews>
  <sheetFormatPr baseColWidth="10" defaultColWidth="8.83203125" defaultRowHeight="14"/>
  <cols>
    <col min="1" max="1" width="12" customWidth="1"/>
    <col min="2" max="2" width="16" customWidth="1"/>
    <col min="3" max="3" width="70" customWidth="1"/>
    <col min="4" max="4" width="24" customWidth="1"/>
  </cols>
  <sheetData>
    <row r="1" spans="1:4" ht="30" customHeight="1">
      <c r="A1" s="12" t="s">
        <v>112</v>
      </c>
      <c r="B1" s="12" t="s">
        <v>112</v>
      </c>
      <c r="C1" s="12" t="s">
        <v>112</v>
      </c>
      <c r="D1" s="12" t="s">
        <v>112</v>
      </c>
    </row>
    <row r="3" spans="1:4" ht="15">
      <c r="A3" s="9" t="s">
        <v>113</v>
      </c>
      <c r="B3" s="9" t="s">
        <v>114</v>
      </c>
      <c r="C3" s="9" t="s">
        <v>115</v>
      </c>
      <c r="D3" s="9" t="s">
        <v>116</v>
      </c>
    </row>
    <row r="4" spans="1:4" ht="15">
      <c r="A4" s="9" t="s">
        <v>117</v>
      </c>
      <c r="B4" s="10">
        <v>46240</v>
      </c>
      <c r="C4" s="9" t="s">
        <v>118</v>
      </c>
      <c r="D4" s="9" t="s">
        <v>119</v>
      </c>
    </row>
    <row r="5" spans="1:4" ht="30">
      <c r="A5" s="9" t="s">
        <v>120</v>
      </c>
      <c r="B5" s="10">
        <v>46241</v>
      </c>
      <c r="C5" s="9" t="s">
        <v>121</v>
      </c>
      <c r="D5" s="9" t="s">
        <v>119</v>
      </c>
    </row>
  </sheetData>
  <mergeCells count="1">
    <mergeCell ref="A1:D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showGridLines="0" workbookViewId="0">
      <selection sqref="A1:F1"/>
    </sheetView>
  </sheetViews>
  <sheetFormatPr baseColWidth="10" defaultColWidth="8.83203125" defaultRowHeight="14"/>
  <cols>
    <col min="1" max="1" width="16" customWidth="1"/>
    <col min="2" max="2" width="46" customWidth="1"/>
    <col min="3" max="3" width="34" customWidth="1"/>
    <col min="4" max="4" width="52" customWidth="1"/>
    <col min="5" max="5" width="50" customWidth="1"/>
    <col min="6" max="6" width="42" customWidth="1"/>
  </cols>
  <sheetData>
    <row r="1" spans="1:6" ht="30" customHeight="1">
      <c r="A1" s="12" t="s">
        <v>122</v>
      </c>
      <c r="B1" s="12" t="s">
        <v>122</v>
      </c>
      <c r="C1" s="12" t="s">
        <v>122</v>
      </c>
      <c r="D1" s="12" t="s">
        <v>122</v>
      </c>
      <c r="E1" s="12" t="s">
        <v>122</v>
      </c>
      <c r="F1" s="12" t="s">
        <v>122</v>
      </c>
    </row>
    <row r="2" spans="1:6" ht="15">
      <c r="A2" s="14" t="s">
        <v>123</v>
      </c>
      <c r="B2" s="14" t="s">
        <v>123</v>
      </c>
      <c r="C2" s="14" t="s">
        <v>123</v>
      </c>
      <c r="D2" s="14" t="s">
        <v>123</v>
      </c>
      <c r="E2" s="14" t="s">
        <v>123</v>
      </c>
      <c r="F2" s="14" t="s">
        <v>123</v>
      </c>
    </row>
    <row r="3" spans="1:6" ht="15">
      <c r="A3" s="16" t="s">
        <v>124</v>
      </c>
      <c r="B3" s="16" t="s">
        <v>124</v>
      </c>
      <c r="C3" s="16" t="s">
        <v>124</v>
      </c>
      <c r="D3" s="16" t="s">
        <v>124</v>
      </c>
      <c r="E3" s="16" t="s">
        <v>124</v>
      </c>
      <c r="F3" s="16" t="s">
        <v>124</v>
      </c>
    </row>
    <row r="5" spans="1:6" ht="15">
      <c r="A5" s="1" t="s">
        <v>125</v>
      </c>
      <c r="B5" s="1" t="s">
        <v>126</v>
      </c>
      <c r="C5" s="1" t="s">
        <v>127</v>
      </c>
      <c r="D5" s="1" t="s">
        <v>128</v>
      </c>
      <c r="E5" s="1" t="s">
        <v>129</v>
      </c>
      <c r="F5" s="1" t="s">
        <v>130</v>
      </c>
    </row>
    <row r="6" spans="1:6" ht="30">
      <c r="A6" s="1" t="s">
        <v>131</v>
      </c>
      <c r="B6" s="1" t="s">
        <v>132</v>
      </c>
      <c r="C6" s="1" t="s">
        <v>133</v>
      </c>
      <c r="D6" s="1" t="s">
        <v>134</v>
      </c>
      <c r="E6" s="1" t="s">
        <v>135</v>
      </c>
      <c r="F6" s="1" t="s">
        <v>136</v>
      </c>
    </row>
    <row r="7" spans="1:6" ht="30">
      <c r="A7" s="1" t="s">
        <v>137</v>
      </c>
      <c r="B7" s="1" t="s">
        <v>138</v>
      </c>
      <c r="C7" s="1" t="s">
        <v>139</v>
      </c>
      <c r="D7" s="1" t="s">
        <v>140</v>
      </c>
      <c r="E7" s="1" t="s">
        <v>141</v>
      </c>
      <c r="F7" s="1" t="s">
        <v>142</v>
      </c>
    </row>
    <row r="8" spans="1:6" ht="30">
      <c r="A8" s="1" t="s">
        <v>143</v>
      </c>
      <c r="B8" s="1" t="s">
        <v>144</v>
      </c>
      <c r="C8" s="1" t="s">
        <v>145</v>
      </c>
      <c r="D8" s="1" t="s">
        <v>146</v>
      </c>
      <c r="E8" s="1" t="s">
        <v>147</v>
      </c>
      <c r="F8" s="1" t="s">
        <v>148</v>
      </c>
    </row>
    <row r="9" spans="1:6" ht="30">
      <c r="A9" s="1" t="s">
        <v>149</v>
      </c>
      <c r="B9" s="1" t="s">
        <v>150</v>
      </c>
      <c r="C9" s="1" t="s">
        <v>133</v>
      </c>
      <c r="D9" s="1" t="s">
        <v>151</v>
      </c>
      <c r="E9" s="1" t="s">
        <v>152</v>
      </c>
      <c r="F9" s="1" t="s">
        <v>153</v>
      </c>
    </row>
  </sheetData>
  <mergeCells count="3">
    <mergeCell ref="A1:F1"/>
    <mergeCell ref="A2:F2"/>
    <mergeCell ref="A3:F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showGridLines="0" workbookViewId="0">
      <selection sqref="A1:C1"/>
    </sheetView>
  </sheetViews>
  <sheetFormatPr baseColWidth="10" defaultColWidth="8.83203125" defaultRowHeight="14"/>
  <cols>
    <col min="1" max="1" width="24" customWidth="1"/>
    <col min="2" max="2" width="82" customWidth="1"/>
    <col min="3" max="3" width="32" customWidth="1"/>
  </cols>
  <sheetData>
    <row r="1" spans="1:3" ht="30" customHeight="1">
      <c r="A1" s="12" t="s">
        <v>154</v>
      </c>
      <c r="B1" s="12" t="s">
        <v>154</v>
      </c>
      <c r="C1" s="12" t="s">
        <v>154</v>
      </c>
    </row>
    <row r="2" spans="1:3" ht="15">
      <c r="A2" s="14" t="s">
        <v>155</v>
      </c>
      <c r="B2" s="14" t="s">
        <v>155</v>
      </c>
      <c r="C2" s="14" t="s">
        <v>155</v>
      </c>
    </row>
    <row r="4" spans="1:3" ht="15">
      <c r="A4" s="1" t="s">
        <v>156</v>
      </c>
      <c r="B4" s="1" t="s">
        <v>157</v>
      </c>
      <c r="C4" s="1" t="s">
        <v>158</v>
      </c>
    </row>
    <row r="5" spans="1:3" ht="15">
      <c r="A5" s="1" t="s">
        <v>2</v>
      </c>
      <c r="B5" s="1" t="s">
        <v>159</v>
      </c>
      <c r="C5" s="1" t="s">
        <v>160</v>
      </c>
    </row>
    <row r="6" spans="1:3" ht="15">
      <c r="A6" s="1" t="s">
        <v>3</v>
      </c>
      <c r="B6" s="1" t="s">
        <v>161</v>
      </c>
      <c r="C6" s="1" t="s">
        <v>160</v>
      </c>
    </row>
    <row r="7" spans="1:3" ht="15">
      <c r="A7" s="1" t="s">
        <v>5</v>
      </c>
      <c r="B7" s="1" t="s">
        <v>162</v>
      </c>
      <c r="C7" s="1" t="s">
        <v>160</v>
      </c>
    </row>
    <row r="8" spans="1:3" ht="15">
      <c r="A8" s="1" t="s">
        <v>6</v>
      </c>
      <c r="B8" s="1" t="s">
        <v>163</v>
      </c>
      <c r="C8" s="1" t="s">
        <v>160</v>
      </c>
    </row>
    <row r="9" spans="1:3" ht="15">
      <c r="A9" s="1" t="s">
        <v>7</v>
      </c>
      <c r="B9" s="1" t="s">
        <v>164</v>
      </c>
      <c r="C9" s="1" t="s">
        <v>160</v>
      </c>
    </row>
    <row r="10" spans="1:3" ht="30">
      <c r="A10" s="1" t="s">
        <v>8</v>
      </c>
      <c r="B10" s="1" t="s">
        <v>165</v>
      </c>
      <c r="C10" s="1" t="s">
        <v>166</v>
      </c>
    </row>
    <row r="11" spans="1:3" ht="15">
      <c r="A11" s="1" t="s">
        <v>9</v>
      </c>
      <c r="B11" s="1" t="s">
        <v>167</v>
      </c>
      <c r="C11" s="1" t="s">
        <v>160</v>
      </c>
    </row>
    <row r="12" spans="1:3" ht="15">
      <c r="A12" s="1" t="s">
        <v>10</v>
      </c>
      <c r="B12" s="1" t="s">
        <v>168</v>
      </c>
      <c r="C12" s="1" t="s">
        <v>160</v>
      </c>
    </row>
    <row r="13" spans="1:3" ht="15">
      <c r="A13" s="1" t="s">
        <v>11</v>
      </c>
      <c r="B13" s="1" t="s">
        <v>169</v>
      </c>
      <c r="C13" s="1" t="s">
        <v>160</v>
      </c>
    </row>
    <row r="14" spans="1:3" ht="15">
      <c r="A14" s="1" t="s">
        <v>170</v>
      </c>
      <c r="B14" s="1" t="s">
        <v>171</v>
      </c>
      <c r="C14" s="1" t="s">
        <v>160</v>
      </c>
    </row>
    <row r="15" spans="1:3" ht="15">
      <c r="A15" s="1" t="s">
        <v>4</v>
      </c>
      <c r="B15" s="1" t="s">
        <v>172</v>
      </c>
      <c r="C15" s="1" t="s">
        <v>160</v>
      </c>
    </row>
    <row r="16" spans="1:3" ht="30">
      <c r="A16" s="1" t="s">
        <v>173</v>
      </c>
      <c r="B16" s="1" t="s">
        <v>174</v>
      </c>
      <c r="C16" s="1" t="s">
        <v>175</v>
      </c>
    </row>
    <row r="17" spans="1:3" ht="15">
      <c r="A17" s="1" t="s">
        <v>176</v>
      </c>
      <c r="B17" s="1" t="s">
        <v>177</v>
      </c>
      <c r="C17" s="1" t="s">
        <v>160</v>
      </c>
    </row>
  </sheetData>
  <mergeCells count="2">
    <mergeCell ref="A1:C1"/>
    <mergeCell ref="A2:C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showGridLines="0" workbookViewId="0">
      <selection sqref="A1:B1"/>
    </sheetView>
  </sheetViews>
  <sheetFormatPr baseColWidth="10" defaultColWidth="8.83203125" defaultRowHeight="14"/>
  <cols>
    <col min="1" max="1" width="42" customWidth="1"/>
    <col min="2" max="2" width="80" customWidth="1"/>
  </cols>
  <sheetData>
    <row r="1" spans="1:2" ht="30" customHeight="1">
      <c r="A1" s="12" t="s">
        <v>178</v>
      </c>
      <c r="B1" s="12" t="s">
        <v>178</v>
      </c>
    </row>
    <row r="2" spans="1:2" ht="15">
      <c r="A2" s="14" t="s">
        <v>179</v>
      </c>
      <c r="B2" s="14" t="s">
        <v>179</v>
      </c>
    </row>
    <row r="4" spans="1:2" ht="15">
      <c r="A4" s="9" t="s">
        <v>180</v>
      </c>
      <c r="B4" s="9" t="s">
        <v>181</v>
      </c>
    </row>
    <row r="5" spans="1:2" ht="15">
      <c r="A5" s="9" t="s">
        <v>182</v>
      </c>
      <c r="B5" s="9" t="s">
        <v>183</v>
      </c>
    </row>
    <row r="6" spans="1:2" ht="15">
      <c r="A6" s="9" t="s">
        <v>184</v>
      </c>
      <c r="B6" s="9" t="s">
        <v>185</v>
      </c>
    </row>
    <row r="7" spans="1:2" ht="15">
      <c r="A7" s="9" t="s">
        <v>186</v>
      </c>
      <c r="B7" s="9" t="s">
        <v>187</v>
      </c>
    </row>
    <row r="8" spans="1:2" ht="15">
      <c r="A8" s="9" t="s">
        <v>188</v>
      </c>
      <c r="B8" s="9" t="s">
        <v>189</v>
      </c>
    </row>
    <row r="9" spans="1:2" ht="15">
      <c r="A9" s="9" t="s">
        <v>190</v>
      </c>
      <c r="B9" s="9" t="s">
        <v>191</v>
      </c>
    </row>
    <row r="10" spans="1:2" ht="15">
      <c r="A10" s="9" t="s">
        <v>192</v>
      </c>
      <c r="B10" s="9" t="s">
        <v>193</v>
      </c>
    </row>
    <row r="11" spans="1:2" ht="15">
      <c r="A11" s="9" t="s">
        <v>194</v>
      </c>
      <c r="B11" s="9" t="s">
        <v>195</v>
      </c>
    </row>
    <row r="12" spans="1:2" ht="15">
      <c r="A12" s="9" t="s">
        <v>196</v>
      </c>
      <c r="B12" s="9" t="s">
        <v>197</v>
      </c>
    </row>
    <row r="13" spans="1:2" ht="15">
      <c r="A13" s="9" t="s">
        <v>198</v>
      </c>
      <c r="B13" s="9" t="s">
        <v>199</v>
      </c>
    </row>
  </sheetData>
  <mergeCells count="2">
    <mergeCell ref="A1:B1"/>
    <mergeCell ref="A2:B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8"/>
  <sheetViews>
    <sheetView showGridLines="0" workbookViewId="0"/>
  </sheetViews>
  <sheetFormatPr baseColWidth="10" defaultColWidth="8.83203125" defaultRowHeight="14"/>
  <cols>
    <col min="1" max="1" width="10" customWidth="1"/>
    <col min="2" max="2" width="15" customWidth="1"/>
    <col min="3" max="3" width="34" customWidth="1"/>
    <col min="4" max="4" width="22" customWidth="1"/>
    <col min="5" max="5" width="24" customWidth="1"/>
    <col min="6" max="6" width="54" customWidth="1"/>
    <col min="7" max="7" width="56" customWidth="1"/>
    <col min="8" max="8" width="58" customWidth="1"/>
    <col min="9" max="9" width="13" customWidth="1"/>
    <col min="10" max="11" width="34" customWidth="1"/>
    <col min="12" max="12" width="14" customWidth="1"/>
  </cols>
  <sheetData>
    <row r="1" spans="1:12" ht="15">
      <c r="A1" s="11" t="s">
        <v>200</v>
      </c>
      <c r="B1" s="11" t="s">
        <v>201</v>
      </c>
      <c r="C1" s="11" t="s">
        <v>202</v>
      </c>
      <c r="D1" s="11" t="s">
        <v>203</v>
      </c>
      <c r="E1" s="11" t="s">
        <v>204</v>
      </c>
      <c r="F1" s="11" t="s">
        <v>205</v>
      </c>
      <c r="G1" s="11" t="s">
        <v>206</v>
      </c>
      <c r="H1" s="11" t="s">
        <v>207</v>
      </c>
      <c r="I1" s="11" t="s">
        <v>208</v>
      </c>
      <c r="J1" s="11" t="s">
        <v>209</v>
      </c>
      <c r="K1" s="11" t="s">
        <v>210</v>
      </c>
      <c r="L1" s="11" t="s">
        <v>211</v>
      </c>
    </row>
    <row r="2" spans="1:12" ht="42" customHeight="1">
      <c r="A2" s="11" t="s">
        <v>212</v>
      </c>
      <c r="B2" s="11" t="s">
        <v>213</v>
      </c>
      <c r="C2" s="11" t="s">
        <v>214</v>
      </c>
      <c r="D2" s="11" t="s">
        <v>215</v>
      </c>
      <c r="E2" s="11" t="s">
        <v>16</v>
      </c>
      <c r="F2" s="11" t="s">
        <v>216</v>
      </c>
      <c r="G2" s="11" t="s">
        <v>217</v>
      </c>
      <c r="H2" s="11" t="s">
        <v>218</v>
      </c>
      <c r="I2" s="11" t="s">
        <v>219</v>
      </c>
      <c r="J2" s="11" t="s">
        <v>220</v>
      </c>
      <c r="K2" s="11"/>
      <c r="L2" s="11" t="s">
        <v>221</v>
      </c>
    </row>
    <row r="3" spans="1:12" ht="42" customHeight="1">
      <c r="A3" s="11" t="s">
        <v>222</v>
      </c>
      <c r="B3" s="11" t="s">
        <v>213</v>
      </c>
      <c r="C3" s="11" t="s">
        <v>223</v>
      </c>
      <c r="D3" s="11" t="s">
        <v>224</v>
      </c>
      <c r="E3" s="11" t="s">
        <v>16</v>
      </c>
      <c r="F3" s="11" t="s">
        <v>225</v>
      </c>
      <c r="G3" s="11" t="s">
        <v>226</v>
      </c>
      <c r="H3" s="11" t="s">
        <v>227</v>
      </c>
      <c r="I3" s="11" t="s">
        <v>228</v>
      </c>
      <c r="J3" s="11" t="s">
        <v>229</v>
      </c>
      <c r="K3" s="11"/>
      <c r="L3" s="11" t="s">
        <v>221</v>
      </c>
    </row>
    <row r="4" spans="1:12" ht="42" customHeight="1">
      <c r="A4" s="11" t="s">
        <v>230</v>
      </c>
      <c r="B4" s="11" t="s">
        <v>213</v>
      </c>
      <c r="C4" s="11" t="s">
        <v>231</v>
      </c>
      <c r="D4" s="11" t="s">
        <v>215</v>
      </c>
      <c r="E4" s="11" t="s">
        <v>23</v>
      </c>
      <c r="F4" s="11" t="s">
        <v>232</v>
      </c>
      <c r="G4" s="11" t="s">
        <v>233</v>
      </c>
      <c r="H4" s="11" t="s">
        <v>234</v>
      </c>
      <c r="I4" s="11" t="s">
        <v>235</v>
      </c>
      <c r="J4" s="11" t="s">
        <v>229</v>
      </c>
      <c r="K4" s="11"/>
      <c r="L4" s="11" t="s">
        <v>221</v>
      </c>
    </row>
    <row r="5" spans="1:12" ht="42" customHeight="1">
      <c r="A5" s="11" t="s">
        <v>236</v>
      </c>
      <c r="B5" s="11" t="s">
        <v>213</v>
      </c>
      <c r="C5" s="11" t="s">
        <v>237</v>
      </c>
      <c r="D5" s="11" t="s">
        <v>224</v>
      </c>
      <c r="E5" s="11" t="s">
        <v>23</v>
      </c>
      <c r="F5" s="11" t="s">
        <v>238</v>
      </c>
      <c r="G5" s="11" t="s">
        <v>239</v>
      </c>
      <c r="H5" s="11" t="s">
        <v>227</v>
      </c>
      <c r="I5" s="11" t="s">
        <v>240</v>
      </c>
      <c r="J5" s="11" t="s">
        <v>229</v>
      </c>
      <c r="K5" s="11"/>
      <c r="L5" s="11" t="s">
        <v>221</v>
      </c>
    </row>
    <row r="6" spans="1:12" ht="42" customHeight="1">
      <c r="A6" s="11" t="s">
        <v>241</v>
      </c>
      <c r="B6" s="11" t="s">
        <v>213</v>
      </c>
      <c r="C6" s="11" t="s">
        <v>242</v>
      </c>
      <c r="D6" s="11" t="s">
        <v>215</v>
      </c>
      <c r="E6" s="11" t="s">
        <v>26</v>
      </c>
      <c r="F6" s="11" t="s">
        <v>243</v>
      </c>
      <c r="G6" s="11" t="s">
        <v>244</v>
      </c>
      <c r="H6" s="11" t="s">
        <v>245</v>
      </c>
      <c r="I6" s="11" t="s">
        <v>246</v>
      </c>
      <c r="J6" s="11" t="s">
        <v>229</v>
      </c>
      <c r="K6" s="11"/>
      <c r="L6" s="11" t="s">
        <v>221</v>
      </c>
    </row>
    <row r="7" spans="1:12" ht="42" customHeight="1">
      <c r="A7" s="11" t="s">
        <v>247</v>
      </c>
      <c r="B7" s="11" t="s">
        <v>213</v>
      </c>
      <c r="C7" s="11" t="s">
        <v>248</v>
      </c>
      <c r="D7" s="11" t="s">
        <v>224</v>
      </c>
      <c r="E7" s="11" t="s">
        <v>26</v>
      </c>
      <c r="F7" s="11" t="s">
        <v>249</v>
      </c>
      <c r="G7" s="11" t="s">
        <v>250</v>
      </c>
      <c r="H7" s="11" t="s">
        <v>227</v>
      </c>
      <c r="I7" s="11" t="s">
        <v>251</v>
      </c>
      <c r="J7" s="11" t="s">
        <v>229</v>
      </c>
      <c r="K7" s="11"/>
      <c r="L7" s="11" t="s">
        <v>221</v>
      </c>
    </row>
    <row r="8" spans="1:12" ht="42" customHeight="1">
      <c r="A8" s="11" t="s">
        <v>252</v>
      </c>
      <c r="B8" s="11" t="s">
        <v>213</v>
      </c>
      <c r="C8" s="11" t="s">
        <v>253</v>
      </c>
      <c r="D8" s="11" t="s">
        <v>215</v>
      </c>
      <c r="E8" s="11" t="s">
        <v>31</v>
      </c>
      <c r="F8" s="11" t="s">
        <v>254</v>
      </c>
      <c r="G8" s="11" t="s">
        <v>255</v>
      </c>
      <c r="H8" s="11" t="s">
        <v>256</v>
      </c>
      <c r="I8" s="11" t="s">
        <v>257</v>
      </c>
      <c r="J8" s="11" t="s">
        <v>220</v>
      </c>
      <c r="K8" s="11"/>
      <c r="L8" s="11" t="s">
        <v>221</v>
      </c>
    </row>
    <row r="9" spans="1:12" ht="42" customHeight="1">
      <c r="A9" s="11" t="s">
        <v>258</v>
      </c>
      <c r="B9" s="11" t="s">
        <v>213</v>
      </c>
      <c r="C9" s="11" t="s">
        <v>259</v>
      </c>
      <c r="D9" s="11" t="s">
        <v>224</v>
      </c>
      <c r="E9" s="11" t="s">
        <v>260</v>
      </c>
      <c r="F9" s="11" t="s">
        <v>261</v>
      </c>
      <c r="G9" s="11" t="s">
        <v>262</v>
      </c>
      <c r="H9" s="11" t="s">
        <v>263</v>
      </c>
      <c r="I9" s="11" t="s">
        <v>264</v>
      </c>
      <c r="J9" s="11" t="s">
        <v>229</v>
      </c>
      <c r="K9" s="11"/>
      <c r="L9" s="11" t="s">
        <v>221</v>
      </c>
    </row>
    <row r="10" spans="1:12" ht="42" customHeight="1">
      <c r="A10" s="11" t="s">
        <v>265</v>
      </c>
      <c r="B10" s="11" t="s">
        <v>213</v>
      </c>
      <c r="C10" s="11" t="s">
        <v>266</v>
      </c>
      <c r="D10" s="11" t="s">
        <v>224</v>
      </c>
      <c r="E10" s="11" t="s">
        <v>31</v>
      </c>
      <c r="F10" s="11" t="s">
        <v>267</v>
      </c>
      <c r="G10" s="11" t="s">
        <v>268</v>
      </c>
      <c r="H10" s="11" t="s">
        <v>269</v>
      </c>
      <c r="I10" s="11" t="s">
        <v>270</v>
      </c>
      <c r="J10" s="11" t="s">
        <v>229</v>
      </c>
      <c r="K10" s="11"/>
      <c r="L10" s="11" t="s">
        <v>221</v>
      </c>
    </row>
    <row r="11" spans="1:12" ht="42" customHeight="1">
      <c r="A11" s="11" t="s">
        <v>271</v>
      </c>
      <c r="B11" s="11" t="s">
        <v>213</v>
      </c>
      <c r="C11" s="11" t="s">
        <v>272</v>
      </c>
      <c r="D11" s="11" t="s">
        <v>215</v>
      </c>
      <c r="E11" s="11" t="s">
        <v>36</v>
      </c>
      <c r="F11" s="11" t="s">
        <v>273</v>
      </c>
      <c r="G11" s="11" t="s">
        <v>274</v>
      </c>
      <c r="H11" s="11" t="s">
        <v>275</v>
      </c>
      <c r="I11" s="11" t="s">
        <v>276</v>
      </c>
      <c r="J11" s="11" t="s">
        <v>220</v>
      </c>
      <c r="K11" s="11"/>
      <c r="L11" s="11" t="s">
        <v>221</v>
      </c>
    </row>
    <row r="12" spans="1:12" ht="42" customHeight="1">
      <c r="A12" s="11" t="s">
        <v>277</v>
      </c>
      <c r="B12" s="11" t="s">
        <v>213</v>
      </c>
      <c r="C12" s="11" t="s">
        <v>278</v>
      </c>
      <c r="D12" s="11" t="s">
        <v>224</v>
      </c>
      <c r="E12" s="11" t="s">
        <v>36</v>
      </c>
      <c r="F12" s="11" t="s">
        <v>273</v>
      </c>
      <c r="G12" s="11" t="s">
        <v>279</v>
      </c>
      <c r="H12" s="11" t="s">
        <v>227</v>
      </c>
      <c r="I12" s="11" t="s">
        <v>280</v>
      </c>
      <c r="J12" s="11" t="s">
        <v>229</v>
      </c>
      <c r="K12" s="11"/>
      <c r="L12" s="11" t="s">
        <v>221</v>
      </c>
    </row>
    <row r="13" spans="1:12" ht="42" customHeight="1">
      <c r="A13" s="11" t="s">
        <v>281</v>
      </c>
      <c r="B13" s="11" t="s">
        <v>213</v>
      </c>
      <c r="C13" s="11" t="s">
        <v>282</v>
      </c>
      <c r="D13" s="11" t="s">
        <v>215</v>
      </c>
      <c r="E13" s="11" t="s">
        <v>45</v>
      </c>
      <c r="F13" s="11" t="s">
        <v>283</v>
      </c>
      <c r="G13" s="11" t="s">
        <v>284</v>
      </c>
      <c r="H13" s="11" t="s">
        <v>285</v>
      </c>
      <c r="I13" s="11" t="s">
        <v>286</v>
      </c>
      <c r="J13" s="11" t="s">
        <v>287</v>
      </c>
      <c r="K13" s="11"/>
      <c r="L13" s="11" t="s">
        <v>221</v>
      </c>
    </row>
    <row r="14" spans="1:12" ht="42" customHeight="1">
      <c r="A14" s="11" t="s">
        <v>288</v>
      </c>
      <c r="B14" s="11" t="s">
        <v>213</v>
      </c>
      <c r="C14" s="11" t="s">
        <v>289</v>
      </c>
      <c r="D14" s="11" t="s">
        <v>224</v>
      </c>
      <c r="E14" s="11" t="s">
        <v>45</v>
      </c>
      <c r="F14" s="11" t="s">
        <v>290</v>
      </c>
      <c r="G14" s="11" t="s">
        <v>291</v>
      </c>
      <c r="H14" s="11" t="s">
        <v>227</v>
      </c>
      <c r="I14" s="11" t="s">
        <v>292</v>
      </c>
      <c r="J14" s="11" t="s">
        <v>229</v>
      </c>
      <c r="K14" s="11"/>
      <c r="L14" s="11" t="s">
        <v>221</v>
      </c>
    </row>
    <row r="15" spans="1:12" ht="42" customHeight="1">
      <c r="A15" s="11" t="s">
        <v>293</v>
      </c>
      <c r="B15" s="11" t="s">
        <v>294</v>
      </c>
      <c r="C15" s="11" t="s">
        <v>295</v>
      </c>
      <c r="D15" s="11" t="s">
        <v>296</v>
      </c>
      <c r="E15" s="11" t="s">
        <v>297</v>
      </c>
      <c r="F15" s="11" t="s">
        <v>298</v>
      </c>
      <c r="G15" s="11" t="s">
        <v>299</v>
      </c>
      <c r="H15" s="11" t="s">
        <v>300</v>
      </c>
      <c r="I15" s="11" t="s">
        <v>301</v>
      </c>
      <c r="J15" s="11" t="s">
        <v>302</v>
      </c>
      <c r="K15" s="11"/>
      <c r="L15" s="11" t="s">
        <v>221</v>
      </c>
    </row>
    <row r="16" spans="1:12" ht="42" customHeight="1">
      <c r="A16" s="11" t="s">
        <v>303</v>
      </c>
      <c r="B16" s="11" t="s">
        <v>294</v>
      </c>
      <c r="C16" s="11" t="s">
        <v>304</v>
      </c>
      <c r="D16" s="11" t="s">
        <v>305</v>
      </c>
      <c r="E16" s="11" t="s">
        <v>297</v>
      </c>
      <c r="F16" s="11" t="s">
        <v>306</v>
      </c>
      <c r="G16" s="11" t="s">
        <v>307</v>
      </c>
      <c r="H16" s="11" t="s">
        <v>308</v>
      </c>
      <c r="I16" s="11" t="s">
        <v>309</v>
      </c>
      <c r="J16" s="11" t="s">
        <v>302</v>
      </c>
      <c r="K16" s="11"/>
      <c r="L16" s="11" t="s">
        <v>221</v>
      </c>
    </row>
    <row r="17" spans="1:12" ht="42" customHeight="1">
      <c r="A17" s="11" t="s">
        <v>310</v>
      </c>
      <c r="B17" s="11" t="s">
        <v>311</v>
      </c>
      <c r="C17" s="11" t="s">
        <v>312</v>
      </c>
      <c r="D17" s="11" t="s">
        <v>313</v>
      </c>
      <c r="E17" s="11" t="s">
        <v>16</v>
      </c>
      <c r="F17" s="11" t="s">
        <v>314</v>
      </c>
      <c r="G17" s="11" t="s">
        <v>315</v>
      </c>
      <c r="H17" s="11" t="s">
        <v>316</v>
      </c>
      <c r="I17" s="11" t="s">
        <v>317</v>
      </c>
      <c r="J17" s="11" t="s">
        <v>229</v>
      </c>
      <c r="K17" s="11"/>
      <c r="L17" s="11" t="s">
        <v>221</v>
      </c>
    </row>
    <row r="18" spans="1:12" ht="42" customHeight="1">
      <c r="A18" s="11" t="s">
        <v>318</v>
      </c>
      <c r="B18" s="11" t="s">
        <v>311</v>
      </c>
      <c r="C18" s="11" t="s">
        <v>319</v>
      </c>
      <c r="D18" s="11" t="s">
        <v>320</v>
      </c>
      <c r="E18" s="11" t="s">
        <v>321</v>
      </c>
      <c r="F18" s="11" t="s">
        <v>322</v>
      </c>
      <c r="G18" s="11" t="s">
        <v>323</v>
      </c>
      <c r="H18" s="11" t="s">
        <v>324</v>
      </c>
      <c r="I18" s="11" t="s">
        <v>325</v>
      </c>
      <c r="J18" s="11" t="s">
        <v>326</v>
      </c>
      <c r="K18" s="11"/>
      <c r="L18" s="11" t="s">
        <v>221</v>
      </c>
    </row>
    <row r="19" spans="1:12" ht="42" customHeight="1">
      <c r="A19" s="11" t="s">
        <v>327</v>
      </c>
      <c r="B19" s="11" t="s">
        <v>328</v>
      </c>
      <c r="C19" s="11" t="s">
        <v>329</v>
      </c>
      <c r="D19" s="11" t="s">
        <v>330</v>
      </c>
      <c r="E19" s="11" t="s">
        <v>331</v>
      </c>
      <c r="F19" s="11" t="s">
        <v>332</v>
      </c>
      <c r="G19" s="11" t="s">
        <v>333</v>
      </c>
      <c r="H19" s="11" t="s">
        <v>334</v>
      </c>
      <c r="I19" s="11" t="s">
        <v>335</v>
      </c>
      <c r="J19" s="11" t="s">
        <v>336</v>
      </c>
      <c r="K19" s="11"/>
      <c r="L19" s="11" t="s">
        <v>221</v>
      </c>
    </row>
    <row r="20" spans="1:12" ht="42" customHeight="1">
      <c r="A20" s="11" t="s">
        <v>337</v>
      </c>
      <c r="B20" s="11" t="s">
        <v>328</v>
      </c>
      <c r="C20" s="11" t="s">
        <v>338</v>
      </c>
      <c r="D20" s="11" t="s">
        <v>339</v>
      </c>
      <c r="E20" s="11" t="s">
        <v>340</v>
      </c>
      <c r="F20" s="11" t="s">
        <v>341</v>
      </c>
      <c r="G20" s="11" t="s">
        <v>342</v>
      </c>
      <c r="H20" s="11" t="s">
        <v>343</v>
      </c>
      <c r="I20" s="11" t="s">
        <v>344</v>
      </c>
      <c r="J20" s="11" t="s">
        <v>345</v>
      </c>
      <c r="K20" s="11"/>
      <c r="L20" s="11" t="s">
        <v>221</v>
      </c>
    </row>
    <row r="21" spans="1:12" ht="42" customHeight="1">
      <c r="A21" s="11" t="s">
        <v>346</v>
      </c>
      <c r="B21" s="11" t="s">
        <v>328</v>
      </c>
      <c r="C21" s="11" t="s">
        <v>347</v>
      </c>
      <c r="D21" s="11" t="s">
        <v>339</v>
      </c>
      <c r="E21" s="11" t="s">
        <v>348</v>
      </c>
      <c r="F21" s="11" t="s">
        <v>349</v>
      </c>
      <c r="G21" s="11" t="s">
        <v>350</v>
      </c>
      <c r="H21" s="11" t="s">
        <v>351</v>
      </c>
      <c r="I21" s="11" t="s">
        <v>352</v>
      </c>
      <c r="J21" s="11" t="s">
        <v>353</v>
      </c>
      <c r="K21" s="11"/>
      <c r="L21" s="11" t="s">
        <v>221</v>
      </c>
    </row>
    <row r="22" spans="1:12" ht="42" customHeight="1">
      <c r="A22" s="11" t="s">
        <v>354</v>
      </c>
      <c r="B22" s="11" t="s">
        <v>328</v>
      </c>
      <c r="C22" s="11" t="s">
        <v>355</v>
      </c>
      <c r="D22" s="11" t="s">
        <v>296</v>
      </c>
      <c r="E22" s="11" t="s">
        <v>331</v>
      </c>
      <c r="F22" s="11" t="s">
        <v>356</v>
      </c>
      <c r="G22" s="11" t="s">
        <v>357</v>
      </c>
      <c r="H22" s="11" t="s">
        <v>358</v>
      </c>
      <c r="I22" s="11" t="s">
        <v>359</v>
      </c>
      <c r="J22" s="11" t="s">
        <v>360</v>
      </c>
      <c r="K22" s="11"/>
      <c r="L22" s="11" t="s">
        <v>221</v>
      </c>
    </row>
    <row r="23" spans="1:12" ht="42" customHeight="1">
      <c r="A23" s="11" t="s">
        <v>361</v>
      </c>
      <c r="B23" s="11" t="s">
        <v>328</v>
      </c>
      <c r="C23" s="11" t="s">
        <v>362</v>
      </c>
      <c r="D23" s="11" t="s">
        <v>363</v>
      </c>
      <c r="E23" s="11" t="s">
        <v>331</v>
      </c>
      <c r="F23" s="11" t="s">
        <v>364</v>
      </c>
      <c r="G23" s="11" t="s">
        <v>365</v>
      </c>
      <c r="H23" s="11" t="s">
        <v>366</v>
      </c>
      <c r="I23" s="11" t="s">
        <v>367</v>
      </c>
      <c r="J23" s="11" t="s">
        <v>287</v>
      </c>
      <c r="K23" s="11"/>
      <c r="L23" s="11" t="s">
        <v>221</v>
      </c>
    </row>
    <row r="24" spans="1:12" ht="42" customHeight="1">
      <c r="A24" s="11" t="s">
        <v>368</v>
      </c>
      <c r="B24" s="11" t="s">
        <v>369</v>
      </c>
      <c r="C24" s="11" t="s">
        <v>370</v>
      </c>
      <c r="D24" s="11" t="s">
        <v>330</v>
      </c>
      <c r="E24" s="11" t="s">
        <v>371</v>
      </c>
      <c r="F24" s="11" t="s">
        <v>372</v>
      </c>
      <c r="G24" s="11" t="s">
        <v>373</v>
      </c>
      <c r="H24" s="11" t="s">
        <v>374</v>
      </c>
      <c r="I24" s="11" t="s">
        <v>375</v>
      </c>
      <c r="J24" s="11" t="s">
        <v>376</v>
      </c>
      <c r="K24" s="11"/>
      <c r="L24" s="11" t="s">
        <v>221</v>
      </c>
    </row>
    <row r="25" spans="1:12" ht="42" customHeight="1">
      <c r="A25" s="11" t="s">
        <v>377</v>
      </c>
      <c r="B25" s="11" t="s">
        <v>369</v>
      </c>
      <c r="C25" s="11" t="s">
        <v>378</v>
      </c>
      <c r="D25" s="11" t="s">
        <v>296</v>
      </c>
      <c r="E25" s="11" t="s">
        <v>371</v>
      </c>
      <c r="F25" s="11" t="s">
        <v>379</v>
      </c>
      <c r="G25" s="11" t="s">
        <v>380</v>
      </c>
      <c r="H25" s="11" t="s">
        <v>381</v>
      </c>
      <c r="I25" s="11" t="s">
        <v>382</v>
      </c>
      <c r="J25" s="11" t="s">
        <v>383</v>
      </c>
      <c r="K25" s="11"/>
      <c r="L25" s="11" t="s">
        <v>221</v>
      </c>
    </row>
    <row r="26" spans="1:12" ht="42" customHeight="1">
      <c r="A26" s="11" t="s">
        <v>384</v>
      </c>
      <c r="B26" s="11" t="s">
        <v>369</v>
      </c>
      <c r="C26" s="11" t="s">
        <v>385</v>
      </c>
      <c r="D26" s="11" t="s">
        <v>339</v>
      </c>
      <c r="E26" s="11" t="s">
        <v>371</v>
      </c>
      <c r="F26" s="11" t="s">
        <v>386</v>
      </c>
      <c r="G26" s="11" t="s">
        <v>387</v>
      </c>
      <c r="H26" s="11" t="s">
        <v>388</v>
      </c>
      <c r="I26" s="11" t="s">
        <v>389</v>
      </c>
      <c r="J26" s="11" t="s">
        <v>345</v>
      </c>
      <c r="K26" s="11"/>
      <c r="L26" s="11" t="s">
        <v>221</v>
      </c>
    </row>
    <row r="27" spans="1:12" ht="42" customHeight="1">
      <c r="A27" s="11" t="s">
        <v>390</v>
      </c>
      <c r="B27" s="11" t="s">
        <v>369</v>
      </c>
      <c r="C27" s="11" t="s">
        <v>391</v>
      </c>
      <c r="D27" s="11" t="s">
        <v>363</v>
      </c>
      <c r="E27" s="11" t="s">
        <v>371</v>
      </c>
      <c r="F27" s="11" t="s">
        <v>392</v>
      </c>
      <c r="G27" s="11" t="s">
        <v>393</v>
      </c>
      <c r="H27" s="11" t="s">
        <v>394</v>
      </c>
      <c r="I27" s="11" t="s">
        <v>395</v>
      </c>
      <c r="J27" s="11" t="s">
        <v>287</v>
      </c>
      <c r="K27" s="11"/>
      <c r="L27" s="11" t="s">
        <v>221</v>
      </c>
    </row>
    <row r="28" spans="1:12" ht="42" customHeight="1">
      <c r="A28" s="11" t="s">
        <v>396</v>
      </c>
      <c r="B28" s="11" t="s">
        <v>397</v>
      </c>
      <c r="C28" s="11" t="s">
        <v>398</v>
      </c>
      <c r="D28" s="11" t="s">
        <v>330</v>
      </c>
      <c r="E28" s="11" t="s">
        <v>399</v>
      </c>
      <c r="F28" s="11" t="s">
        <v>400</v>
      </c>
      <c r="G28" s="11" t="s">
        <v>401</v>
      </c>
      <c r="H28" s="11" t="s">
        <v>402</v>
      </c>
      <c r="I28" s="11" t="s">
        <v>403</v>
      </c>
      <c r="J28" s="11" t="s">
        <v>404</v>
      </c>
      <c r="K28" s="11"/>
      <c r="L28" s="11" t="s">
        <v>221</v>
      </c>
    </row>
    <row r="29" spans="1:12" ht="42" customHeight="1">
      <c r="A29" s="11" t="s">
        <v>405</v>
      </c>
      <c r="B29" s="11" t="s">
        <v>397</v>
      </c>
      <c r="C29" s="11" t="s">
        <v>406</v>
      </c>
      <c r="D29" s="11" t="s">
        <v>296</v>
      </c>
      <c r="E29" s="11" t="s">
        <v>399</v>
      </c>
      <c r="F29" s="11" t="s">
        <v>407</v>
      </c>
      <c r="G29" s="11" t="s">
        <v>408</v>
      </c>
      <c r="H29" s="11" t="s">
        <v>409</v>
      </c>
      <c r="I29" s="11" t="s">
        <v>410</v>
      </c>
      <c r="J29" s="11" t="s">
        <v>411</v>
      </c>
      <c r="K29" s="11"/>
      <c r="L29" s="11" t="s">
        <v>221</v>
      </c>
    </row>
    <row r="30" spans="1:12" ht="42" customHeight="1">
      <c r="A30" s="11" t="s">
        <v>412</v>
      </c>
      <c r="B30" s="11" t="s">
        <v>397</v>
      </c>
      <c r="C30" s="11" t="s">
        <v>413</v>
      </c>
      <c r="D30" s="11" t="s">
        <v>320</v>
      </c>
      <c r="E30" s="11" t="s">
        <v>399</v>
      </c>
      <c r="F30" s="11" t="s">
        <v>414</v>
      </c>
      <c r="G30" s="11" t="s">
        <v>415</v>
      </c>
      <c r="H30" s="11" t="s">
        <v>416</v>
      </c>
      <c r="I30" s="11" t="s">
        <v>417</v>
      </c>
      <c r="J30" s="11" t="s">
        <v>418</v>
      </c>
      <c r="K30" s="11"/>
      <c r="L30" s="11" t="s">
        <v>221</v>
      </c>
    </row>
    <row r="31" spans="1:12" ht="42" customHeight="1">
      <c r="A31" s="11" t="s">
        <v>419</v>
      </c>
      <c r="B31" s="11" t="s">
        <v>397</v>
      </c>
      <c r="C31" s="11" t="s">
        <v>420</v>
      </c>
      <c r="D31" s="11" t="s">
        <v>421</v>
      </c>
      <c r="E31" s="11" t="s">
        <v>399</v>
      </c>
      <c r="F31" s="11" t="s">
        <v>422</v>
      </c>
      <c r="G31" s="11" t="s">
        <v>423</v>
      </c>
      <c r="H31" s="11" t="s">
        <v>424</v>
      </c>
      <c r="I31" s="11" t="s">
        <v>425</v>
      </c>
      <c r="J31" s="11" t="s">
        <v>426</v>
      </c>
      <c r="K31" s="11"/>
      <c r="L31" s="11" t="s">
        <v>221</v>
      </c>
    </row>
    <row r="32" spans="1:12" ht="42" customHeight="1">
      <c r="A32" s="11" t="s">
        <v>427</v>
      </c>
      <c r="B32" s="11" t="s">
        <v>397</v>
      </c>
      <c r="C32" s="11" t="s">
        <v>428</v>
      </c>
      <c r="D32" s="11" t="s">
        <v>363</v>
      </c>
      <c r="E32" s="11" t="s">
        <v>399</v>
      </c>
      <c r="F32" s="11" t="s">
        <v>429</v>
      </c>
      <c r="G32" s="11" t="s">
        <v>430</v>
      </c>
      <c r="H32" s="11" t="s">
        <v>431</v>
      </c>
      <c r="I32" s="11" t="s">
        <v>432</v>
      </c>
      <c r="J32" s="11" t="s">
        <v>287</v>
      </c>
      <c r="K32" s="11"/>
      <c r="L32" s="11" t="s">
        <v>221</v>
      </c>
    </row>
    <row r="33" spans="1:12" ht="42" customHeight="1">
      <c r="A33" s="11" t="s">
        <v>433</v>
      </c>
      <c r="B33" s="11" t="s">
        <v>434</v>
      </c>
      <c r="C33" s="11" t="s">
        <v>435</v>
      </c>
      <c r="D33" s="11" t="s">
        <v>436</v>
      </c>
      <c r="E33" s="11" t="s">
        <v>26</v>
      </c>
      <c r="F33" s="11" t="s">
        <v>437</v>
      </c>
      <c r="G33" s="11" t="s">
        <v>438</v>
      </c>
      <c r="H33" s="11" t="s">
        <v>439</v>
      </c>
      <c r="I33" s="11" t="s">
        <v>440</v>
      </c>
      <c r="J33" s="11" t="s">
        <v>441</v>
      </c>
      <c r="K33" s="11"/>
      <c r="L33" s="11" t="s">
        <v>221</v>
      </c>
    </row>
    <row r="34" spans="1:12" ht="42" customHeight="1">
      <c r="A34" s="11" t="s">
        <v>442</v>
      </c>
      <c r="B34" s="11" t="s">
        <v>434</v>
      </c>
      <c r="C34" s="11" t="s">
        <v>443</v>
      </c>
      <c r="D34" s="11" t="s">
        <v>305</v>
      </c>
      <c r="E34" s="11" t="s">
        <v>16</v>
      </c>
      <c r="F34" s="11" t="s">
        <v>444</v>
      </c>
      <c r="G34" s="11" t="s">
        <v>445</v>
      </c>
      <c r="H34" s="11" t="s">
        <v>446</v>
      </c>
      <c r="I34" s="11" t="s">
        <v>447</v>
      </c>
      <c r="J34" s="11" t="s">
        <v>448</v>
      </c>
      <c r="K34" s="11"/>
      <c r="L34" s="11" t="s">
        <v>221</v>
      </c>
    </row>
    <row r="35" spans="1:12" ht="42" customHeight="1">
      <c r="A35" s="11" t="s">
        <v>449</v>
      </c>
      <c r="B35" s="11" t="s">
        <v>434</v>
      </c>
      <c r="C35" s="11" t="s">
        <v>450</v>
      </c>
      <c r="D35" s="11" t="s">
        <v>330</v>
      </c>
      <c r="E35" s="11" t="s">
        <v>16</v>
      </c>
      <c r="F35" s="11" t="s">
        <v>451</v>
      </c>
      <c r="G35" s="11" t="s">
        <v>452</v>
      </c>
      <c r="H35" s="11" t="s">
        <v>453</v>
      </c>
      <c r="I35" s="11" t="s">
        <v>454</v>
      </c>
      <c r="J35" s="11" t="s">
        <v>376</v>
      </c>
      <c r="K35" s="11"/>
      <c r="L35" s="11" t="s">
        <v>221</v>
      </c>
    </row>
    <row r="36" spans="1:12" ht="42" customHeight="1">
      <c r="A36" s="11" t="s">
        <v>455</v>
      </c>
      <c r="B36" s="11" t="s">
        <v>456</v>
      </c>
      <c r="C36" s="11" t="s">
        <v>457</v>
      </c>
      <c r="D36" s="11" t="s">
        <v>421</v>
      </c>
      <c r="E36" s="11" t="s">
        <v>297</v>
      </c>
      <c r="F36" s="11" t="s">
        <v>458</v>
      </c>
      <c r="G36" s="11" t="s">
        <v>459</v>
      </c>
      <c r="H36" s="11" t="s">
        <v>460</v>
      </c>
      <c r="I36" s="11" t="s">
        <v>461</v>
      </c>
      <c r="J36" s="11" t="s">
        <v>462</v>
      </c>
      <c r="K36" s="11"/>
      <c r="L36" s="11" t="s">
        <v>221</v>
      </c>
    </row>
    <row r="37" spans="1:12" ht="42" customHeight="1">
      <c r="A37" s="11" t="s">
        <v>463</v>
      </c>
      <c r="B37" s="11" t="s">
        <v>456</v>
      </c>
      <c r="C37" s="11" t="s">
        <v>464</v>
      </c>
      <c r="D37" s="11" t="s">
        <v>421</v>
      </c>
      <c r="E37" s="11" t="s">
        <v>45</v>
      </c>
      <c r="F37" s="11" t="s">
        <v>465</v>
      </c>
      <c r="G37" s="11" t="s">
        <v>466</v>
      </c>
      <c r="H37" s="11" t="s">
        <v>467</v>
      </c>
      <c r="I37" s="11" t="s">
        <v>468</v>
      </c>
      <c r="J37" s="11" t="s">
        <v>469</v>
      </c>
      <c r="K37" s="11"/>
      <c r="L37" s="11" t="s">
        <v>221</v>
      </c>
    </row>
    <row r="38" spans="1:12" ht="42" customHeight="1">
      <c r="A38" s="11" t="s">
        <v>470</v>
      </c>
      <c r="B38" s="11" t="s">
        <v>471</v>
      </c>
      <c r="C38" s="11" t="s">
        <v>472</v>
      </c>
      <c r="D38" s="11" t="s">
        <v>473</v>
      </c>
      <c r="E38" s="11" t="s">
        <v>474</v>
      </c>
      <c r="F38" s="11" t="s">
        <v>475</v>
      </c>
      <c r="G38" s="11" t="s">
        <v>476</v>
      </c>
      <c r="H38" s="11" t="s">
        <v>477</v>
      </c>
      <c r="I38" s="11" t="s">
        <v>478</v>
      </c>
      <c r="J38" s="11" t="s">
        <v>479</v>
      </c>
      <c r="K38" s="11"/>
      <c r="L38" s="11" t="s">
        <v>221</v>
      </c>
    </row>
  </sheetData>
  <dataValidations count="1">
    <dataValidation type="list" sqref="L2:L38" xr:uid="{00000000-0002-0000-0800-000000000000}">
      <formula1>"NOT RUN,PASS,FAIL,BLOCKED"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showGridLines="0" topLeftCell="A2" zoomScale="125" workbookViewId="0">
      <selection activeCell="E14" sqref="E14"/>
    </sheetView>
  </sheetViews>
  <sheetFormatPr baseColWidth="10" defaultColWidth="8.83203125" defaultRowHeight="14"/>
  <cols>
    <col min="1" max="1" width="18" customWidth="1"/>
    <col min="2" max="2" width="56" customWidth="1"/>
    <col min="3" max="3" width="18" customWidth="1"/>
    <col min="4" max="4" width="24" customWidth="1"/>
    <col min="5" max="5" width="70" customWidth="1"/>
  </cols>
  <sheetData>
    <row r="1" spans="1:5" ht="15">
      <c r="A1" s="11" t="s">
        <v>201</v>
      </c>
      <c r="B1" s="11" t="s">
        <v>480</v>
      </c>
      <c r="C1" s="11" t="s">
        <v>481</v>
      </c>
      <c r="D1" s="11" t="s">
        <v>482</v>
      </c>
      <c r="E1" s="11" t="s">
        <v>483</v>
      </c>
    </row>
    <row r="2" spans="1:5" ht="32" customHeight="1">
      <c r="A2" s="11" t="s">
        <v>213</v>
      </c>
      <c r="B2" s="11" t="s">
        <v>484</v>
      </c>
      <c r="C2" s="11" t="s">
        <v>485</v>
      </c>
      <c r="D2" s="11" t="s">
        <v>486</v>
      </c>
      <c r="E2" s="11" t="s">
        <v>487</v>
      </c>
    </row>
    <row r="3" spans="1:5" ht="32" customHeight="1">
      <c r="A3" s="11" t="s">
        <v>294</v>
      </c>
      <c r="B3" s="11" t="s">
        <v>488</v>
      </c>
      <c r="C3" s="11" t="s">
        <v>489</v>
      </c>
      <c r="D3" s="11" t="s">
        <v>490</v>
      </c>
      <c r="E3" s="11" t="s">
        <v>491</v>
      </c>
    </row>
    <row r="4" spans="1:5" ht="32" customHeight="1">
      <c r="A4" s="11" t="s">
        <v>311</v>
      </c>
      <c r="B4" s="11" t="s">
        <v>492</v>
      </c>
      <c r="C4" s="11" t="s">
        <v>493</v>
      </c>
      <c r="D4" s="11" t="s">
        <v>494</v>
      </c>
      <c r="E4" s="11" t="s">
        <v>495</v>
      </c>
    </row>
    <row r="5" spans="1:5" ht="32" customHeight="1">
      <c r="A5" s="11" t="s">
        <v>328</v>
      </c>
      <c r="B5" s="11" t="s">
        <v>496</v>
      </c>
      <c r="C5" s="11" t="s">
        <v>497</v>
      </c>
      <c r="D5" s="11" t="s">
        <v>498</v>
      </c>
      <c r="E5" s="11" t="s">
        <v>499</v>
      </c>
    </row>
    <row r="6" spans="1:5" ht="32" customHeight="1">
      <c r="A6" s="11" t="s">
        <v>369</v>
      </c>
      <c r="B6" s="11" t="s">
        <v>500</v>
      </c>
      <c r="C6" s="11" t="s">
        <v>501</v>
      </c>
      <c r="D6" s="11" t="s">
        <v>502</v>
      </c>
      <c r="E6" s="11" t="s">
        <v>503</v>
      </c>
    </row>
    <row r="7" spans="1:5" ht="32" customHeight="1">
      <c r="A7" s="11" t="s">
        <v>397</v>
      </c>
      <c r="B7" s="11" t="s">
        <v>504</v>
      </c>
      <c r="C7" s="11" t="s">
        <v>505</v>
      </c>
      <c r="D7" s="11" t="s">
        <v>506</v>
      </c>
      <c r="E7" s="11" t="s">
        <v>507</v>
      </c>
    </row>
    <row r="8" spans="1:5" ht="32" customHeight="1">
      <c r="A8" s="11" t="s">
        <v>434</v>
      </c>
      <c r="B8" s="11" t="s">
        <v>508</v>
      </c>
      <c r="C8" s="11" t="s">
        <v>509</v>
      </c>
      <c r="D8" s="11" t="s">
        <v>510</v>
      </c>
      <c r="E8" s="11" t="s">
        <v>511</v>
      </c>
    </row>
    <row r="9" spans="1:5" ht="32" customHeight="1">
      <c r="A9" s="11" t="s">
        <v>456</v>
      </c>
      <c r="B9" s="11" t="s">
        <v>512</v>
      </c>
      <c r="C9" s="11" t="s">
        <v>513</v>
      </c>
      <c r="D9" s="11" t="s">
        <v>514</v>
      </c>
      <c r="E9" s="11" t="s">
        <v>515</v>
      </c>
    </row>
    <row r="10" spans="1:5" ht="32" customHeight="1">
      <c r="A10" s="11" t="s">
        <v>471</v>
      </c>
      <c r="B10" s="11" t="s">
        <v>516</v>
      </c>
      <c r="C10" s="11" t="s">
        <v>470</v>
      </c>
      <c r="D10" s="11" t="s">
        <v>478</v>
      </c>
      <c r="E10" s="11" t="s">
        <v>517</v>
      </c>
    </row>
    <row r="11" spans="1:5" ht="32" customHeight="1">
      <c r="A11" s="17" t="s">
        <v>523</v>
      </c>
      <c r="B11" s="17" t="s">
        <v>524</v>
      </c>
      <c r="C11" s="17" t="s">
        <v>522</v>
      </c>
      <c r="D11" s="1" t="s">
        <v>525</v>
      </c>
      <c r="E11" s="1" t="s">
        <v>526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8"/>
  <sheetViews>
    <sheetView showGridLines="0" tabSelected="1" workbookViewId="0"/>
  </sheetViews>
  <sheetFormatPr baseColWidth="10" defaultColWidth="8.83203125" defaultRowHeight="14"/>
  <cols>
    <col min="1" max="1" width="15" customWidth="1"/>
    <col min="2" max="2" width="11" customWidth="1"/>
    <col min="3" max="3" width="26" customWidth="1"/>
    <col min="4" max="4" width="38" customWidth="1"/>
    <col min="5" max="6" width="20" customWidth="1"/>
  </cols>
  <sheetData>
    <row r="1" spans="1:6" ht="15">
      <c r="A1" s="1" t="s">
        <v>208</v>
      </c>
      <c r="B1" s="1" t="s">
        <v>200</v>
      </c>
      <c r="C1" s="1" t="s">
        <v>518</v>
      </c>
      <c r="D1" s="1" t="s">
        <v>209</v>
      </c>
      <c r="E1" s="1" t="s">
        <v>519</v>
      </c>
      <c r="F1" s="1" t="s">
        <v>211</v>
      </c>
    </row>
    <row r="2" spans="1:6" ht="38" customHeight="1">
      <c r="A2" s="1" t="str">
        <f>Test_Plan!I2</f>
        <v>EV-T01</v>
      </c>
      <c r="B2" s="1" t="str">
        <f>Test_Plan!A2</f>
        <v>T01</v>
      </c>
      <c r="C2" s="1" t="str">
        <f t="shared" ref="C2:C38" si="0">A2&amp;"-Evidence"</f>
        <v>EV-T01-Evidence</v>
      </c>
      <c r="D2" s="1" t="str">
        <f>Test_Plan!J2</f>
        <v>Screenshot</v>
      </c>
      <c r="E2" s="1" t="s">
        <v>520</v>
      </c>
      <c r="F2" s="1" t="s">
        <v>521</v>
      </c>
    </row>
    <row r="3" spans="1:6" ht="38" customHeight="1">
      <c r="A3" s="1" t="str">
        <f>Test_Plan!I3</f>
        <v>EV-T02</v>
      </c>
      <c r="B3" s="1" t="str">
        <f>Test_Plan!A3</f>
        <v>T02</v>
      </c>
      <c r="C3" s="1" t="str">
        <f t="shared" si="0"/>
        <v>EV-T02-Evidence</v>
      </c>
      <c r="D3" s="1" t="str">
        <f>Test_Plan!J3</f>
        <v>Screenshot and application log</v>
      </c>
      <c r="E3" s="1" t="s">
        <v>520</v>
      </c>
      <c r="F3" s="1" t="s">
        <v>521</v>
      </c>
    </row>
    <row r="4" spans="1:6" ht="38" customHeight="1">
      <c r="A4" s="1" t="str">
        <f>Test_Plan!I4</f>
        <v>EV-T03</v>
      </c>
      <c r="B4" s="1" t="str">
        <f>Test_Plan!A4</f>
        <v>T03</v>
      </c>
      <c r="C4" s="1" t="str">
        <f t="shared" si="0"/>
        <v>EV-T03-Evidence</v>
      </c>
      <c r="D4" s="1" t="str">
        <f>Test_Plan!J4</f>
        <v>Screenshot and application log</v>
      </c>
      <c r="E4" s="1" t="s">
        <v>520</v>
      </c>
      <c r="F4" s="1" t="s">
        <v>521</v>
      </c>
    </row>
    <row r="5" spans="1:6" ht="38" customHeight="1">
      <c r="A5" s="1" t="str">
        <f>Test_Plan!I5</f>
        <v>EV-T04</v>
      </c>
      <c r="B5" s="1" t="str">
        <f>Test_Plan!A5</f>
        <v>T04</v>
      </c>
      <c r="C5" s="1" t="str">
        <f t="shared" si="0"/>
        <v>EV-T04-Evidence</v>
      </c>
      <c r="D5" s="1" t="str">
        <f>Test_Plan!J5</f>
        <v>Screenshot and application log</v>
      </c>
      <c r="E5" s="1" t="s">
        <v>520</v>
      </c>
      <c r="F5" s="1" t="s">
        <v>521</v>
      </c>
    </row>
    <row r="6" spans="1:6" ht="38" customHeight="1">
      <c r="A6" s="1" t="str">
        <f>Test_Plan!I6</f>
        <v>EV-T05</v>
      </c>
      <c r="B6" s="1" t="str">
        <f>Test_Plan!A6</f>
        <v>T05</v>
      </c>
      <c r="C6" s="1" t="str">
        <f t="shared" si="0"/>
        <v>EV-T05-Evidence</v>
      </c>
      <c r="D6" s="1" t="str">
        <f>Test_Plan!J6</f>
        <v>Screenshot and application log</v>
      </c>
      <c r="E6" s="1" t="s">
        <v>520</v>
      </c>
      <c r="F6" s="1" t="s">
        <v>521</v>
      </c>
    </row>
    <row r="7" spans="1:6" ht="38" customHeight="1">
      <c r="A7" s="1" t="str">
        <f>Test_Plan!I7</f>
        <v>EV-T06</v>
      </c>
      <c r="B7" s="1" t="str">
        <f>Test_Plan!A7</f>
        <v>T06</v>
      </c>
      <c r="C7" s="1" t="str">
        <f t="shared" si="0"/>
        <v>EV-T06-Evidence</v>
      </c>
      <c r="D7" s="1" t="str">
        <f>Test_Plan!J7</f>
        <v>Screenshot and application log</v>
      </c>
      <c r="E7" s="1" t="s">
        <v>520</v>
      </c>
      <c r="F7" s="1" t="s">
        <v>521</v>
      </c>
    </row>
    <row r="8" spans="1:6" ht="38" customHeight="1">
      <c r="A8" s="1" t="str">
        <f>Test_Plan!I8</f>
        <v>EV-T07</v>
      </c>
      <c r="B8" s="1" t="str">
        <f>Test_Plan!A8</f>
        <v>T07</v>
      </c>
      <c r="C8" s="1" t="str">
        <f t="shared" si="0"/>
        <v>EV-T07-Evidence</v>
      </c>
      <c r="D8" s="1" t="str">
        <f>Test_Plan!J8</f>
        <v>Screenshot</v>
      </c>
      <c r="E8" s="1" t="s">
        <v>520</v>
      </c>
      <c r="F8" s="1" t="s">
        <v>521</v>
      </c>
    </row>
    <row r="9" spans="1:6" ht="38" customHeight="1">
      <c r="A9" s="1" t="str">
        <f>Test_Plan!I9</f>
        <v>EV-T08</v>
      </c>
      <c r="B9" s="1" t="str">
        <f>Test_Plan!A9</f>
        <v>T08</v>
      </c>
      <c r="C9" s="1" t="str">
        <f t="shared" si="0"/>
        <v>EV-T08-Evidence</v>
      </c>
      <c r="D9" s="1" t="str">
        <f>Test_Plan!J9</f>
        <v>Screenshot and application log</v>
      </c>
      <c r="E9" s="1" t="s">
        <v>520</v>
      </c>
      <c r="F9" s="1" t="s">
        <v>521</v>
      </c>
    </row>
    <row r="10" spans="1:6" ht="38" customHeight="1">
      <c r="A10" s="1" t="str">
        <f>Test_Plan!I10</f>
        <v>EV-T09</v>
      </c>
      <c r="B10" s="1" t="str">
        <f>Test_Plan!A10</f>
        <v>T09</v>
      </c>
      <c r="C10" s="1" t="str">
        <f t="shared" si="0"/>
        <v>EV-T09-Evidence</v>
      </c>
      <c r="D10" s="1" t="str">
        <f>Test_Plan!J10</f>
        <v>Screenshot and application log</v>
      </c>
      <c r="E10" s="1" t="s">
        <v>520</v>
      </c>
      <c r="F10" s="1" t="s">
        <v>521</v>
      </c>
    </row>
    <row r="11" spans="1:6" ht="38" customHeight="1">
      <c r="A11" s="1" t="str">
        <f>Test_Plan!I11</f>
        <v>EV-T10</v>
      </c>
      <c r="B11" s="1" t="str">
        <f>Test_Plan!A11</f>
        <v>T10</v>
      </c>
      <c r="C11" s="1" t="str">
        <f t="shared" si="0"/>
        <v>EV-T10-Evidence</v>
      </c>
      <c r="D11" s="1" t="str">
        <f>Test_Plan!J11</f>
        <v>Screenshot</v>
      </c>
      <c r="E11" s="1" t="s">
        <v>520</v>
      </c>
      <c r="F11" s="1" t="s">
        <v>521</v>
      </c>
    </row>
    <row r="12" spans="1:6" ht="38" customHeight="1">
      <c r="A12" s="1" t="str">
        <f>Test_Plan!I12</f>
        <v>EV-T11</v>
      </c>
      <c r="B12" s="1" t="str">
        <f>Test_Plan!A12</f>
        <v>T11</v>
      </c>
      <c r="C12" s="1" t="str">
        <f t="shared" si="0"/>
        <v>EV-T11-Evidence</v>
      </c>
      <c r="D12" s="1" t="str">
        <f>Test_Plan!J12</f>
        <v>Screenshot and application log</v>
      </c>
      <c r="E12" s="1" t="s">
        <v>520</v>
      </c>
      <c r="F12" s="1" t="s">
        <v>521</v>
      </c>
    </row>
    <row r="13" spans="1:6" ht="38" customHeight="1">
      <c r="A13" s="1" t="str">
        <f>Test_Plan!I13</f>
        <v>EV-T12</v>
      </c>
      <c r="B13" s="1" t="str">
        <f>Test_Plan!A13</f>
        <v>T12</v>
      </c>
      <c r="C13" s="1" t="str">
        <f t="shared" si="0"/>
        <v>EV-T12-Evidence</v>
      </c>
      <c r="D13" s="1" t="str">
        <f>Test_Plan!J13</f>
        <v>Command transcript and workflow log</v>
      </c>
      <c r="E13" s="1" t="s">
        <v>520</v>
      </c>
      <c r="F13" s="1" t="s">
        <v>521</v>
      </c>
    </row>
    <row r="14" spans="1:6" ht="38" customHeight="1">
      <c r="A14" s="1" t="str">
        <f>Test_Plan!I14</f>
        <v>EV-T13</v>
      </c>
      <c r="B14" s="1" t="str">
        <f>Test_Plan!A14</f>
        <v>T13</v>
      </c>
      <c r="C14" s="1" t="str">
        <f t="shared" si="0"/>
        <v>EV-T13-Evidence</v>
      </c>
      <c r="D14" s="1" t="str">
        <f>Test_Plan!J14</f>
        <v>Screenshot and application log</v>
      </c>
      <c r="E14" s="1" t="s">
        <v>520</v>
      </c>
      <c r="F14" s="1" t="s">
        <v>521</v>
      </c>
    </row>
    <row r="15" spans="1:6" ht="38" customHeight="1">
      <c r="A15" s="1" t="str">
        <f>Test_Plan!I15</f>
        <v>EV-T14</v>
      </c>
      <c r="B15" s="1" t="str">
        <f>Test_Plan!A15</f>
        <v>T14</v>
      </c>
      <c r="C15" s="1" t="str">
        <f t="shared" si="0"/>
        <v>EV-T14-Evidence</v>
      </c>
      <c r="D15" s="1" t="str">
        <f>Test_Plan!J15</f>
        <v>Screenshot without MFA secrets</v>
      </c>
      <c r="E15" s="1" t="s">
        <v>520</v>
      </c>
      <c r="F15" s="1" t="s">
        <v>521</v>
      </c>
    </row>
    <row r="16" spans="1:6" ht="38" customHeight="1">
      <c r="A16" s="1" t="str">
        <f>Test_Plan!I16</f>
        <v>EV-T15</v>
      </c>
      <c r="B16" s="1" t="str">
        <f>Test_Plan!A16</f>
        <v>T15</v>
      </c>
      <c r="C16" s="1" t="str">
        <f t="shared" si="0"/>
        <v>EV-T15-Evidence</v>
      </c>
      <c r="D16" s="1" t="str">
        <f>Test_Plan!J16</f>
        <v>Screenshot without MFA secrets</v>
      </c>
      <c r="E16" s="1" t="s">
        <v>520</v>
      </c>
      <c r="F16" s="1" t="s">
        <v>521</v>
      </c>
    </row>
    <row r="17" spans="1:6" ht="38" customHeight="1">
      <c r="A17" s="1" t="str">
        <f>Test_Plan!I17</f>
        <v>EV-T16</v>
      </c>
      <c r="B17" s="1" t="str">
        <f>Test_Plan!A17</f>
        <v>T16</v>
      </c>
      <c r="C17" s="1" t="str">
        <f t="shared" si="0"/>
        <v>EV-T16-Evidence</v>
      </c>
      <c r="D17" s="1" t="str">
        <f>Test_Plan!J17</f>
        <v>Screenshot and application log</v>
      </c>
      <c r="E17" s="1" t="s">
        <v>520</v>
      </c>
      <c r="F17" s="1" t="s">
        <v>521</v>
      </c>
    </row>
    <row r="18" spans="1:6" ht="38" customHeight="1">
      <c r="A18" s="1" t="str">
        <f>Test_Plan!I18</f>
        <v>EV-T17</v>
      </c>
      <c r="B18" s="1" t="str">
        <f>Test_Plan!A18</f>
        <v>T17</v>
      </c>
      <c r="C18" s="1" t="str">
        <f t="shared" si="0"/>
        <v>EV-T17-Evidence</v>
      </c>
      <c r="D18" s="1" t="str">
        <f>Test_Plan!J18</f>
        <v>Sign-in result and application log</v>
      </c>
      <c r="E18" s="1" t="s">
        <v>520</v>
      </c>
      <c r="F18" s="1" t="s">
        <v>521</v>
      </c>
    </row>
    <row r="19" spans="1:6" ht="38" customHeight="1">
      <c r="A19" s="1" t="str">
        <f>Test_Plan!I19</f>
        <v>EV-T18</v>
      </c>
      <c r="B19" s="1" t="str">
        <f>Test_Plan!A19</f>
        <v>T18</v>
      </c>
      <c r="C19" s="1" t="str">
        <f t="shared" si="0"/>
        <v>EV-T18-Evidence</v>
      </c>
      <c r="D19" s="1" t="str">
        <f>Test_Plan!J19</f>
        <v>User screenshot and workflow log</v>
      </c>
      <c r="E19" s="1" t="s">
        <v>520</v>
      </c>
      <c r="F19" s="1" t="s">
        <v>521</v>
      </c>
    </row>
    <row r="20" spans="1:6" ht="38" customHeight="1">
      <c r="A20" s="1" t="str">
        <f>Test_Plan!I20</f>
        <v>EV-T19</v>
      </c>
      <c r="B20" s="1" t="str">
        <f>Test_Plan!A20</f>
        <v>T19</v>
      </c>
      <c r="C20" s="1" t="str">
        <f t="shared" si="0"/>
        <v>EV-T19-Evidence</v>
      </c>
      <c r="D20" s="1" t="str">
        <f>Test_Plan!J20</f>
        <v>Command transcript and validation log</v>
      </c>
      <c r="E20" s="1" t="s">
        <v>520</v>
      </c>
      <c r="F20" s="1" t="s">
        <v>521</v>
      </c>
    </row>
    <row r="21" spans="1:6" ht="38" customHeight="1">
      <c r="A21" s="1" t="str">
        <f>Test_Plan!I21</f>
        <v>EV-T20</v>
      </c>
      <c r="B21" s="1" t="str">
        <f>Test_Plan!A21</f>
        <v>T20</v>
      </c>
      <c r="C21" s="1" t="str">
        <f t="shared" si="0"/>
        <v>EV-T20-Evidence</v>
      </c>
      <c r="D21" s="1" t="str">
        <f>Test_Plan!J21</f>
        <v>Command transcript and user search</v>
      </c>
      <c r="E21" s="1" t="s">
        <v>520</v>
      </c>
      <c r="F21" s="1" t="s">
        <v>521</v>
      </c>
    </row>
    <row r="22" spans="1:6" ht="38" customHeight="1">
      <c r="A22" s="1" t="str">
        <f>Test_Plan!I22</f>
        <v>EV-T21</v>
      </c>
      <c r="B22" s="1" t="str">
        <f>Test_Plan!A22</f>
        <v>T21</v>
      </c>
      <c r="C22" s="1" t="str">
        <f t="shared" si="0"/>
        <v>EV-T21-Evidence</v>
      </c>
      <c r="D22" s="1" t="str">
        <f>Test_Plan!J22</f>
        <v>Group-membership screenshot</v>
      </c>
      <c r="E22" s="1" t="s">
        <v>520</v>
      </c>
      <c r="F22" s="1" t="s">
        <v>521</v>
      </c>
    </row>
    <row r="23" spans="1:6" ht="38" customHeight="1">
      <c r="A23" s="1" t="str">
        <f>Test_Plan!I23</f>
        <v>EV-T22</v>
      </c>
      <c r="B23" s="1" t="str">
        <f>Test_Plan!A23</f>
        <v>T22</v>
      </c>
      <c r="C23" s="1" t="str">
        <f t="shared" si="0"/>
        <v>EV-T22-Evidence</v>
      </c>
      <c r="D23" s="1" t="str">
        <f>Test_Plan!J23</f>
        <v>Command transcript and workflow log</v>
      </c>
      <c r="E23" s="1" t="s">
        <v>520</v>
      </c>
      <c r="F23" s="1" t="s">
        <v>521</v>
      </c>
    </row>
    <row r="24" spans="1:6" ht="38" customHeight="1">
      <c r="A24" s="1" t="str">
        <f>Test_Plan!I24</f>
        <v>EV-T23</v>
      </c>
      <c r="B24" s="1" t="str">
        <f>Test_Plan!A24</f>
        <v>T23</v>
      </c>
      <c r="C24" s="1" t="str">
        <f t="shared" si="0"/>
        <v>EV-T23-Evidence</v>
      </c>
      <c r="D24" s="1" t="str">
        <f>Test_Plan!J24</f>
        <v>Before and after screenshots and log</v>
      </c>
      <c r="E24" s="1" t="s">
        <v>520</v>
      </c>
      <c r="F24" s="1" t="s">
        <v>521</v>
      </c>
    </row>
    <row r="25" spans="1:6" ht="38" customHeight="1">
      <c r="A25" s="1" t="str">
        <f>Test_Plan!I25</f>
        <v>EV-T24</v>
      </c>
      <c r="B25" s="1" t="str">
        <f>Test_Plan!A25</f>
        <v>T24</v>
      </c>
      <c r="C25" s="1" t="str">
        <f t="shared" si="0"/>
        <v>EV-T24-Evidence</v>
      </c>
      <c r="D25" s="1" t="str">
        <f>Test_Plan!J25</f>
        <v>Group screenshot and application test</v>
      </c>
      <c r="E25" s="1" t="s">
        <v>520</v>
      </c>
      <c r="F25" s="1" t="s">
        <v>521</v>
      </c>
    </row>
    <row r="26" spans="1:6" ht="38" customHeight="1">
      <c r="A26" s="1" t="str">
        <f>Test_Plan!I26</f>
        <v>EV-T25</v>
      </c>
      <c r="B26" s="1" t="str">
        <f>Test_Plan!A26</f>
        <v>T25</v>
      </c>
      <c r="C26" s="1" t="str">
        <f t="shared" si="0"/>
        <v>EV-T25-Evidence</v>
      </c>
      <c r="D26" s="1" t="str">
        <f>Test_Plan!J26</f>
        <v>Command transcript and validation log</v>
      </c>
      <c r="E26" s="1" t="s">
        <v>520</v>
      </c>
      <c r="F26" s="1" t="s">
        <v>521</v>
      </c>
    </row>
    <row r="27" spans="1:6" ht="38" customHeight="1">
      <c r="A27" s="1" t="str">
        <f>Test_Plan!I27</f>
        <v>EV-T26</v>
      </c>
      <c r="B27" s="1" t="str">
        <f>Test_Plan!A27</f>
        <v>T26</v>
      </c>
      <c r="C27" s="1" t="str">
        <f t="shared" si="0"/>
        <v>EV-T26-Evidence</v>
      </c>
      <c r="D27" s="1" t="str">
        <f>Test_Plan!J27</f>
        <v>Command transcript and workflow log</v>
      </c>
      <c r="E27" s="1" t="s">
        <v>520</v>
      </c>
      <c r="F27" s="1" t="s">
        <v>521</v>
      </c>
    </row>
    <row r="28" spans="1:6" ht="38" customHeight="1">
      <c r="A28" s="1" t="str">
        <f>Test_Plan!I28</f>
        <v>EV-T27</v>
      </c>
      <c r="B28" s="1" t="str">
        <f>Test_Plan!A28</f>
        <v>T27</v>
      </c>
      <c r="C28" s="1" t="str">
        <f t="shared" si="0"/>
        <v>EV-T27-Evidence</v>
      </c>
      <c r="D28" s="1" t="str">
        <f>Test_Plan!J28</f>
        <v>User-status screenshot and workflow log</v>
      </c>
      <c r="E28" s="1" t="s">
        <v>520</v>
      </c>
      <c r="F28" s="1" t="s">
        <v>521</v>
      </c>
    </row>
    <row r="29" spans="1:6" ht="38" customHeight="1">
      <c r="A29" s="1" t="str">
        <f>Test_Plan!I29</f>
        <v>EV-T28</v>
      </c>
      <c r="B29" s="1" t="str">
        <f>Test_Plan!A29</f>
        <v>T28</v>
      </c>
      <c r="C29" s="1" t="str">
        <f t="shared" si="0"/>
        <v>EV-T28-Evidence</v>
      </c>
      <c r="D29" s="1" t="str">
        <f>Test_Plan!J29</f>
        <v>Group screenshot and workflow log</v>
      </c>
      <c r="E29" s="1" t="s">
        <v>520</v>
      </c>
      <c r="F29" s="1" t="s">
        <v>521</v>
      </c>
    </row>
    <row r="30" spans="1:6" ht="38" customHeight="1">
      <c r="A30" s="1" t="str">
        <f>Test_Plan!I30</f>
        <v>EV-T29</v>
      </c>
      <c r="B30" s="1" t="str">
        <f>Test_Plan!A30</f>
        <v>T29</v>
      </c>
      <c r="C30" s="1" t="str">
        <f t="shared" si="0"/>
        <v>EV-T29-Evidence</v>
      </c>
      <c r="D30" s="1" t="str">
        <f>Test_Plan!J30</f>
        <v>Sign-in result screenshot</v>
      </c>
      <c r="E30" s="1" t="s">
        <v>520</v>
      </c>
      <c r="F30" s="1" t="s">
        <v>521</v>
      </c>
    </row>
    <row r="31" spans="1:6" ht="38" customHeight="1">
      <c r="A31" s="1" t="str">
        <f>Test_Plan!I31</f>
        <v>EV-T30</v>
      </c>
      <c r="B31" s="1" t="str">
        <f>Test_Plan!A31</f>
        <v>T30</v>
      </c>
      <c r="C31" s="1" t="str">
        <f t="shared" si="0"/>
        <v>EV-T30-Evidence</v>
      </c>
      <c r="D31" s="1" t="str">
        <f>Test_Plan!J31</f>
        <v>User screenshot and audit log</v>
      </c>
      <c r="E31" s="1" t="s">
        <v>520</v>
      </c>
      <c r="F31" s="1" t="s">
        <v>521</v>
      </c>
    </row>
    <row r="32" spans="1:6" ht="38" customHeight="1">
      <c r="A32" s="1" t="str">
        <f>Test_Plan!I32</f>
        <v>EV-T31</v>
      </c>
      <c r="B32" s="1" t="str">
        <f>Test_Plan!A32</f>
        <v>T31</v>
      </c>
      <c r="C32" s="1" t="str">
        <f t="shared" si="0"/>
        <v>EV-T31-Evidence</v>
      </c>
      <c r="D32" s="1" t="str">
        <f>Test_Plan!J32</f>
        <v>Command transcript and workflow log</v>
      </c>
      <c r="E32" s="1" t="s">
        <v>520</v>
      </c>
      <c r="F32" s="1" t="s">
        <v>521</v>
      </c>
    </row>
    <row r="33" spans="1:6" ht="38" customHeight="1">
      <c r="A33" s="1" t="str">
        <f>Test_Plan!I33</f>
        <v>EV-T32</v>
      </c>
      <c r="B33" s="1" t="str">
        <f>Test_Plan!A33</f>
        <v>T32</v>
      </c>
      <c r="C33" s="1" t="str">
        <f t="shared" si="0"/>
        <v>EV-T32-Evidence</v>
      </c>
      <c r="D33" s="1" t="str">
        <f>Test_Plan!J33</f>
        <v>Access-review screenshot or CSV</v>
      </c>
      <c r="E33" s="1" t="s">
        <v>520</v>
      </c>
      <c r="F33" s="1" t="s">
        <v>521</v>
      </c>
    </row>
    <row r="34" spans="1:6" ht="38" customHeight="1">
      <c r="A34" s="1" t="str">
        <f>Test_Plan!I34</f>
        <v>EV-T33</v>
      </c>
      <c r="B34" s="1" t="str">
        <f>Test_Plan!A34</f>
        <v>T33</v>
      </c>
      <c r="C34" s="1" t="str">
        <f t="shared" si="0"/>
        <v>EV-T33-Evidence</v>
      </c>
      <c r="D34" s="1" t="str">
        <f>Test_Plan!J34</f>
        <v>Review CSV and before screenshot</v>
      </c>
      <c r="E34" s="1" t="s">
        <v>520</v>
      </c>
      <c r="F34" s="1" t="s">
        <v>521</v>
      </c>
    </row>
    <row r="35" spans="1:6" ht="38" customHeight="1">
      <c r="A35" s="1" t="str">
        <f>Test_Plan!I35</f>
        <v>EV-T34</v>
      </c>
      <c r="B35" s="1" t="str">
        <f>Test_Plan!A35</f>
        <v>T34</v>
      </c>
      <c r="C35" s="1" t="str">
        <f t="shared" si="0"/>
        <v>EV-T34-Evidence</v>
      </c>
      <c r="D35" s="1" t="str">
        <f>Test_Plan!J35</f>
        <v>Before and after screenshots and log</v>
      </c>
      <c r="E35" s="1" t="s">
        <v>520</v>
      </c>
      <c r="F35" s="1" t="s">
        <v>521</v>
      </c>
    </row>
    <row r="36" spans="1:6" ht="38" customHeight="1">
      <c r="A36" s="1" t="str">
        <f>Test_Plan!I36</f>
        <v>EV-T35</v>
      </c>
      <c r="B36" s="1" t="str">
        <f>Test_Plan!A36</f>
        <v>T35</v>
      </c>
      <c r="C36" s="1" t="str">
        <f t="shared" si="0"/>
        <v>EV-T35-Evidence</v>
      </c>
      <c r="D36" s="1" t="str">
        <f>Test_Plan!J36</f>
        <v>Audit-log screenshot and export</v>
      </c>
      <c r="E36" s="1" t="s">
        <v>520</v>
      </c>
      <c r="F36" s="1" t="s">
        <v>521</v>
      </c>
    </row>
    <row r="37" spans="1:6" ht="38" customHeight="1">
      <c r="A37" s="1" t="str">
        <f>Test_Plan!I37</f>
        <v>EV-T36</v>
      </c>
      <c r="B37" s="1" t="str">
        <f>Test_Plan!A37</f>
        <v>T36</v>
      </c>
      <c r="C37" s="1" t="str">
        <f t="shared" si="0"/>
        <v>EV-T36-Evidence</v>
      </c>
      <c r="D37" s="1" t="str">
        <f>Test_Plan!J37</f>
        <v>Application-log screenshot and export</v>
      </c>
      <c r="E37" s="1" t="s">
        <v>520</v>
      </c>
      <c r="F37" s="1" t="s">
        <v>521</v>
      </c>
    </row>
    <row r="38" spans="1:6" ht="38" customHeight="1">
      <c r="A38" s="1" t="str">
        <f>Test_Plan!I38</f>
        <v>EV-T37</v>
      </c>
      <c r="B38" s="1" t="str">
        <f>Test_Plan!A38</f>
        <v>T37</v>
      </c>
      <c r="C38" s="1" t="str">
        <f t="shared" si="0"/>
        <v>EV-T37-Evidence</v>
      </c>
      <c r="D38" s="1" t="str">
        <f>Test_Plan!J38</f>
        <v>Completed privacy checklist</v>
      </c>
      <c r="E38" s="1" t="s">
        <v>520</v>
      </c>
      <c r="F38" s="1" t="s">
        <v>521</v>
      </c>
    </row>
  </sheetData>
  <dataValidations count="2">
    <dataValidation type="list" sqref="E2:E38" xr:uid="{00000000-0002-0000-0A00-000000000000}">
      <formula1>"Yes,No"</formula1>
    </dataValidation>
    <dataValidation type="list" sqref="F2:F38" xr:uid="{00000000-0002-0000-0A00-000001000000}">
      <formula1>"NOT CAPTURED,CAPTURED,VERIFIED"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Personas</vt:lpstr>
      <vt:lpstr>Test Residents</vt:lpstr>
      <vt:lpstr>RBAC_Matrix_v1.0</vt:lpstr>
      <vt:lpstr>RBAC_Decision_Log</vt:lpstr>
      <vt:lpstr>Change_Log</vt:lpstr>
      <vt:lpstr>JML_Workflow_Spec</vt:lpstr>
      <vt:lpstr>JML_Validation_Rules</vt:lpstr>
      <vt:lpstr>JML_Rollback_Plan</vt:lpstr>
      <vt:lpstr>Test_Plan</vt:lpstr>
      <vt:lpstr>Requirements_Traceability</vt:lpstr>
      <vt:lpstr>Evidence_Index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Rifat Islam EMON</cp:lastModifiedBy>
  <dcterms:created xsi:type="dcterms:W3CDTF">2026-08-07T06:57:47Z</dcterms:created>
  <dcterms:modified xsi:type="dcterms:W3CDTF">2026-08-12T17:21:57Z</dcterms:modified>
</cp:coreProperties>
</file>